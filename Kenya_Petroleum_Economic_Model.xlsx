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Assumptions" sheetId="3" state="visible" r:id="rId5"/>
    <sheet name="Demand_Data" sheetId="4" state="visible" r:id="rId6"/>
    <sheet name="Prices" sheetId="5" state="visible" r:id="rId7"/>
    <sheet name="Scenarios" sheetId="6" state="visible" r:id="rId8"/>
    <sheet name="Supply_Security" sheetId="7" state="visible" r:id="rId9"/>
    <sheet name="LPG_Storage" sheetId="8" state="visible" r:id="rId10"/>
    <sheet name="Project_Economics" sheetId="9" state="visible" r:id="rId11"/>
    <sheet name="Sensitivit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<sst xmlns="http://schemas.openxmlformats.org/spreadsheetml/2006/main" count="244" uniqueCount="191">
  <si>
    <t xml:space="preserve">Kenya Petroleum Economic Model (companion to the Market Outlook 2026-2035)</t>
  </si>
  <si>
    <t xml:space="preserve">How it works: yellow cells with blue text are inputs (sheet Assumptions and the project inputs on Project_Economics). Everything else is a formula.</t>
  </si>
  <si>
    <t xml:space="preserve">Change the scenario selector (Assumptions!C3: 1 = Low-demand, 2 = Baseline, 3 = High-demand) and the Scenarios, Supply_Security, LPG_Storage and Dashboard sheets update.</t>
  </si>
  <si>
    <t xml:space="preserve">Sheets: Assumptions | Demand_Data | Prices | Scenarios | Supply_Security | LPG_Storage | Project_Economics | Sensitivity (static results from the Python pipeline) | Dashboard</t>
  </si>
  <si>
    <t xml:space="preserve">Data: LeadAfrik extract of KNBS Leading Economic Indicators, with the product columns RELABELLED after reconciliation to EPRA PDP 2024 and KNBS 2025 (see Data Quality Report). Jet fuel* and Fuel oil/other* identities are probable, not confirmed.</t>
  </si>
  <si>
    <t xml:space="preserve">Scenario growth rates: EPRA Petroleum Development Plan 2025-2029. Price shocks, 2030-35 fade, LPG/kerosene/jet elasticities and all South Lokichar costs and fiscal terms are the author's ASSUMPTIONS.</t>
  </si>
  <si>
    <t xml:space="preserve">South Lokichar: illustrative public-information model; NOT official or confidential project economics.</t>
  </si>
  <si>
    <t xml:space="preserve">Sensitivity sheet values are static outputs of the Python model (they include break-even solves that Excel cannot do without Goal Seek). The Project_Economics sheet reproduces the base case live.</t>
  </si>
  <si>
    <t xml:space="preserve">KENYA PETROLEUM - DASHBOARD</t>
  </si>
  <si>
    <t xml:space="preserve">Total demand 2025 (kt)</t>
  </si>
  <si>
    <t xml:space="preserve">Total demand 2026 (kt)</t>
  </si>
  <si>
    <t xml:space="preserve">Total demand 2030 (kt)</t>
  </si>
  <si>
    <t xml:space="preserve">Total demand 2035 (kt)</t>
  </si>
  <si>
    <t xml:space="preserve">CAGR 2025-35</t>
  </si>
  <si>
    <t xml:space="preserve">Diesel 2030 (kt)</t>
  </si>
  <si>
    <t xml:space="preserve">Petrol 2030 (kt)</t>
  </si>
  <si>
    <t xml:space="preserve">LPG 2030 (kt)</t>
  </si>
  <si>
    <t xml:space="preserve">LPG storage headroom 2030 (kt)</t>
  </si>
  <si>
    <t xml:space="preserve">LPG storage headroom 2026 (kt)</t>
  </si>
  <si>
    <t xml:space="preserve">Diesel shortfall vs standard (ML)</t>
  </si>
  <si>
    <t xml:space="preserve">Petrol shortfall vs standard (ML)</t>
  </si>
  <si>
    <t xml:space="preserve">Project NPV10, US$ m</t>
  </si>
  <si>
    <t xml:space="preserve">Project IRR</t>
  </si>
  <si>
    <t xml:space="preserve">Government NPV10, US$ m</t>
  </si>
  <si>
    <t xml:space="preserve">Contractor NPV10, US$ m</t>
  </si>
  <si>
    <t xml:space="preserve">ASSUMPTIONS (yellow = input)</t>
  </si>
  <si>
    <t xml:space="preserve">Scenario selector (1=Low-demand, 2=Baseline, 3=High-demand)</t>
  </si>
  <si>
    <t xml:space="preserve">Selected</t>
  </si>
  <si>
    <t xml:space="preserve">Underlying growth 2025-29, % per year</t>
  </si>
  <si>
    <t xml:space="preserve">Low (pessimistic)</t>
  </si>
  <si>
    <t xml:space="preserve">Baseline</t>
  </si>
  <si>
    <t xml:space="preserve">High (optimistic)</t>
  </si>
  <si>
    <t xml:space="preserve">Selected / source</t>
  </si>
  <si>
    <t xml:space="preserve">Diesel (AGO)</t>
  </si>
  <si>
    <t xml:space="preserve">Petrol (PMS)</t>
  </si>
  <si>
    <t xml:space="preserve">LPG</t>
  </si>
  <si>
    <t xml:space="preserve">Jet fuel*</t>
  </si>
  <si>
    <t xml:space="preserve">Kerosene (IK)</t>
  </si>
  <si>
    <t xml:space="preserve">Source: EPRA Petroleum Development Plan 2025-2029 (Section 4).</t>
  </si>
  <si>
    <t xml:space="preserve">2026 average pump-price rise vs 2025, %</t>
  </si>
  <si>
    <t xml:space="preserve">Low-demand</t>
  </si>
  <si>
    <t xml:space="preserve">High-demand</t>
  </si>
  <si>
    <t xml:space="preserve">Author assumptions informed by Mar-Sep 2026 EPRA reviews (Nairobi diesel +30.8%, petrol +20.1% Mar-cycle to Sep-cycle).</t>
  </si>
  <si>
    <t xml:space="preserve">Price elasticity of demand</t>
  </si>
  <si>
    <t xml:space="preserve">Short-run</t>
  </si>
  <si>
    <t xml:space="preserve">Long-run</t>
  </si>
  <si>
    <t xml:space="preserve">Source</t>
  </si>
  <si>
    <t xml:space="preserve">PDP-implied</t>
  </si>
  <si>
    <t xml:space="preserve">Assumption</t>
  </si>
  <si>
    <t xml:space="preserve">2030-35 growth fade factor (x 2025-29 rate)</t>
  </si>
  <si>
    <t xml:space="preserve">Exchange rate, KSh per USD</t>
  </si>
  <si>
    <t xml:space="preserve">Assumption (flat)</t>
  </si>
  <si>
    <t xml:space="preserve">Fuel oil growth to 2027, % per year</t>
  </si>
  <si>
    <t xml:space="preserve">EPRA PDP</t>
  </si>
  <si>
    <t xml:space="preserve">Fuel oil growth after 2027, % per year</t>
  </si>
  <si>
    <t xml:space="preserve">Stock-cover standard, days</t>
  </si>
  <si>
    <t xml:space="preserve">EPRA PDP (15 operational + 15 strategic)</t>
  </si>
  <si>
    <t xml:space="preserve">Installed LPG storage, kt (Mar-2025)</t>
  </si>
  <si>
    <t xml:space="preserve">Additional LPG storage commissioned, kt (e.g. Lake Gas 10)</t>
  </si>
  <si>
    <t xml:space="preserve">Input; status unverified</t>
  </si>
  <si>
    <t xml:space="preserve">ML per kt: diesel</t>
  </si>
  <si>
    <t xml:space="preserve">ML per kt: petrol</t>
  </si>
  <si>
    <t xml:space="preserve">ML per kt: jet</t>
  </si>
  <si>
    <t xml:space="preserve">ML per kt: kerosene</t>
  </si>
  <si>
    <t xml:space="preserve">Month</t>
  </si>
  <si>
    <t xml:space="preserve">Year</t>
  </si>
  <si>
    <t xml:space="preserve">Fuel oil/other*</t>
  </si>
  <si>
    <t xml:space="preserve">Avgas</t>
  </si>
  <si>
    <t xml:space="preserve">Total</t>
  </si>
  <si>
    <t xml:space="preserve">Annual totals (kt) - complete years only</t>
  </si>
  <si>
    <t xml:space="preserve">Growth 2025/24</t>
  </si>
  <si>
    <t xml:space="preserve">Share 2025</t>
  </si>
  <si>
    <t xml:space="preserve">Charcoal</t>
  </si>
  <si>
    <t xml:space="preserve">Illuminating Kerosene</t>
  </si>
  <si>
    <t xml:space="preserve">L.P.G</t>
  </si>
  <si>
    <t xml:space="preserve">Light Diesel Oil</t>
  </si>
  <si>
    <t xml:space="preserve">Motor Gasoline Premium</t>
  </si>
  <si>
    <t xml:space="preserve">Change Jan-25 to Mar-26</t>
  </si>
  <si>
    <t xml:space="preserve">CV</t>
  </si>
  <si>
    <t xml:space="preserve">Note: national averages to Mar-2026. 2026 Nairobi maxima after the Gulf-war shock are in the report (Diesel 242.92 in May-26; 217.86 in Sep-26).</t>
  </si>
  <si>
    <t xml:space="preserve">Demand projection 2025-2035 (kt) - driven by the scenario selector</t>
  </si>
  <si>
    <t xml:space="preserve">YoY total</t>
  </si>
  <si>
    <t xml:space="preserve">Check: 2025 total should equal KNBS 5.7 Mt:</t>
  </si>
  <si>
    <t xml:space="preserve">Supply security: days of cover and storage</t>
  </si>
  <si>
    <t xml:space="preserve">Product</t>
  </si>
  <si>
    <t xml:space="preserve">2025 demand (kt)</t>
  </si>
  <si>
    <t xml:space="preserve">Daily demand (ML)</t>
  </si>
  <si>
    <t xml:space="preserve">Gross licensed capacity (ML)</t>
  </si>
  <si>
    <t xml:space="preserve">Days of demand if tanks full</t>
  </si>
  <si>
    <t xml:space="preserve">Stock for standard cover (ML)</t>
  </si>
  <si>
    <t xml:space="preserve">Reported cover (days) - input</t>
  </si>
  <si>
    <t xml:space="preserve">Reported cover (days)</t>
  </si>
  <si>
    <t xml:space="preserve">Shortfall vs standard (days)</t>
  </si>
  <si>
    <t xml:space="preserve">Shortfall (ML)</t>
  </si>
  <si>
    <t xml:space="preserve">Status (author thresholds)</t>
  </si>
  <si>
    <t xml:space="preserve">Thresholds: GREEN &gt;= standard (30 d); AMBER 15-29; RED &lt; 15. Author framework, not official. Reported cover inputs are from press reports of Ministry/Treasury statements (Apr-2026): petrol 16, diesel 19, jet 49.</t>
  </si>
  <si>
    <t xml:space="preserve">Inventory value of cover (USD m) at Aug-2026 landed cost</t>
  </si>
  <si>
    <t xml:space="preserve">Landed cost petrol (USD/m3)</t>
  </si>
  <si>
    <t xml:space="preserve">Landed cost diesel (USD/m3)</t>
  </si>
  <si>
    <t xml:space="preserve">Days of cover to value</t>
  </si>
  <si>
    <t xml:space="preserve">Inventory value (USD m)</t>
  </si>
  <si>
    <t xml:space="preserve">Inventory value (KSh bn)</t>
  </si>
  <si>
    <t xml:space="preserve">Annual carrying cost at financing rate (USD m)</t>
  </si>
  <si>
    <t xml:space="preserve">LPG storage requirement (PDP method: planned supply = demand x (1+cover/365); storage = supply / 12)</t>
  </si>
  <si>
    <t xml:space="preserve">LPG demand (kt)</t>
  </si>
  <si>
    <t xml:space="preserve">Required storage (kt)</t>
  </si>
  <si>
    <t xml:space="preserve">Installed + new (kt)</t>
  </si>
  <si>
    <t xml:space="preserve">Headroom (kt)</t>
  </si>
  <si>
    <t xml:space="preserve">South Lokichar - ILLUSTRATIVE scenario model (assumptions are the author's; not official project economics)</t>
  </si>
  <si>
    <t xml:space="preserve">Brent, US$/bbl (real, flat)</t>
  </si>
  <si>
    <t xml:space="preserve">Differential to Brent, US$/bbl</t>
  </si>
  <si>
    <t xml:space="preserve">Plateau production, kbpd</t>
  </si>
  <si>
    <t xml:space="preserve">Capex, US$ m</t>
  </si>
  <si>
    <t xml:space="preserve">Opex, US$/bbl</t>
  </si>
  <si>
    <t xml:space="preserve">Transport tariff, US$/bbl</t>
  </si>
  <si>
    <t xml:space="preserve">Discount rate</t>
  </si>
  <si>
    <t xml:space="preserve">Royalty, % of revenue</t>
  </si>
  <si>
    <t xml:space="preserve">Cost-recovery cap, % of net revenue</t>
  </si>
  <si>
    <t xml:space="preserve">Government share of profit oil</t>
  </si>
  <si>
    <t xml:space="preserve">Annual decline after plateau</t>
  </si>
  <si>
    <t xml:space="preserve">Recoverable reserves, mmbbl</t>
  </si>
  <si>
    <t xml:space="preserve">Abandonment, % of capex</t>
  </si>
  <si>
    <t xml:space="preserve">Ramp (share of plateau): 2026 0% / 2027 33% / 2028 66%; plateau to 2037; capex phasing 15/35/30/20% in 2026-29</t>
  </si>
  <si>
    <t xml:space="preserve">Ramp / phase</t>
  </si>
  <si>
    <t xml:space="preserve">kbpd (raw)</t>
  </si>
  <si>
    <t xml:space="preserve">kbpd (eff.)</t>
  </si>
  <si>
    <t xml:space="preserve">mmbbl</t>
  </si>
  <si>
    <t xml:space="preserve">Cum. mmbbl</t>
  </si>
  <si>
    <t xml:space="preserve">Revenue</t>
  </si>
  <si>
    <t xml:space="preserve">Royalty</t>
  </si>
  <si>
    <t xml:space="preserve">Opex+tariff</t>
  </si>
  <si>
    <t xml:space="preserve">Capex</t>
  </si>
  <si>
    <t xml:space="preserve">Pre-fiscal CF</t>
  </si>
  <si>
    <t xml:space="preserve">Cost pool</t>
  </si>
  <si>
    <t xml:space="preserve">Cost recovered</t>
  </si>
  <si>
    <t xml:space="preserve">Profit oil</t>
  </si>
  <si>
    <t xml:space="preserve">Govt take</t>
  </si>
  <si>
    <t xml:space="preserve">Contractor CF</t>
  </si>
  <si>
    <t xml:space="preserve">Disc. factor</t>
  </si>
  <si>
    <t xml:space="preserve">RESULTS</t>
  </si>
  <si>
    <t xml:space="preserve">Project NPV (pre-fiscal), US$ m</t>
  </si>
  <si>
    <t xml:space="preserve">Government NPV, US$ m</t>
  </si>
  <si>
    <t xml:space="preserve">Government take, undiscounted, US$ m</t>
  </si>
  <si>
    <t xml:space="preserve">Contractor NPV, US$ m</t>
  </si>
  <si>
    <t xml:space="preserve">Contractor IRR</t>
  </si>
  <si>
    <t xml:space="preserve">Cumulative production, mmbbl</t>
  </si>
  <si>
    <t xml:space="preserve">Check: python base-case project NPV = 1,551; contractor = -1,260</t>
  </si>
  <si>
    <t xml:space="preserve">Static outputs from the Python pipeline (data/clean/*.csv)</t>
  </si>
  <si>
    <t xml:space="preserve">Project NPV10, US$ m: Brent \ plateau</t>
  </si>
  <si>
    <t xml:space="preserve">80% of 60 kbpd</t>
  </si>
  <si>
    <t xml:space="preserve">90% of 60 kbpd</t>
  </si>
  <si>
    <t xml:space="preserve">100% of 60 kbpd</t>
  </si>
  <si>
    <t xml:space="preserve">110% of 60 kbpd</t>
  </si>
  <si>
    <t xml:space="preserve">120% of 60 kbpd</t>
  </si>
  <si>
    <t xml:space="preserve">US$50</t>
  </si>
  <si>
    <t xml:space="preserve">US$60</t>
  </si>
  <si>
    <t xml:space="preserve">US$70</t>
  </si>
  <si>
    <t xml:space="preserve">US$80</t>
  </si>
  <si>
    <t xml:space="preserve">US$90</t>
  </si>
  <si>
    <t xml:space="preserve">US$100</t>
  </si>
  <si>
    <t xml:space="preserve">Tornado driver</t>
  </si>
  <si>
    <t xml:space="preserve">Downside (US$ m)</t>
  </si>
  <si>
    <t xml:space="preserve">Upside (US$ m)</t>
  </si>
  <si>
    <t xml:space="preserve">Price differential ($10/$2)</t>
  </si>
  <si>
    <t xml:space="preserve">Opex+tariff (+20%/-20%)</t>
  </si>
  <si>
    <t xml:space="preserve">Discount rate (12%/8%)</t>
  </si>
  <si>
    <t xml:space="preserve">CAPEX (+20%/-20%)</t>
  </si>
  <si>
    <t xml:space="preserve">Plateau output (-20%/+20% of 60 kbpd)</t>
  </si>
  <si>
    <t xml:space="preserve">Oil price (Brent $55-$85)</t>
  </si>
  <si>
    <t xml:space="preserve">fiscal_case</t>
  </si>
  <si>
    <t xml:space="preserve">brent</t>
  </si>
  <si>
    <t xml:space="preserve">NPV_contractor</t>
  </si>
  <si>
    <t xml:space="preserve">IRR_contractor</t>
  </si>
  <si>
    <t xml:space="preserve">NPV_gov</t>
  </si>
  <si>
    <t xml:space="preserve">gov_undisc</t>
  </si>
  <si>
    <t xml:space="preserve">gov_share_pct</t>
  </si>
  <si>
    <t xml:space="preserve">contractor_breakeven_brent</t>
  </si>
  <si>
    <t xml:space="preserve">Fiscal case A (cap 60%, gov profit oil 50%)</t>
  </si>
  <si>
    <t xml:space="preserve">Fiscal case B (cap 80%, gov profit oil 35%)</t>
  </si>
  <si>
    <t xml:space="preserve">case</t>
  </si>
  <si>
    <t xml:space="preserve">total_2030_kt</t>
  </si>
  <si>
    <t xml:space="preserve">total_2035_kt</t>
  </si>
  <si>
    <t xml:space="preserve">vs_baseline_2035_%</t>
  </si>
  <si>
    <t xml:space="preserve">Fade 0.6 (slower post-2029)</t>
  </si>
  <si>
    <t xml:space="preserve">Fade 1.0 (no fade)</t>
  </si>
  <si>
    <t xml:space="preserve">No 2026 price shock</t>
  </si>
  <si>
    <t xml:space="preserve">Shock x1.5</t>
  </si>
  <si>
    <t xml:space="preserve">Elasticities x0.5</t>
  </si>
  <si>
    <t xml:space="preserve">Elasticities x2</t>
  </si>
  <si>
    <t xml:space="preserve">Underlying growth +2 pts/yr (2025 momentum)</t>
  </si>
  <si>
    <t xml:space="preserve">Underlying growth -1 pt/yr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</si>
</sst>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0.00%"/>
    <numFmt numFmtId="167" formatCode="\+0.0;\-0.0"/>
    <numFmt numFmtId="168" formatCode="0.0%"/>
    <numFmt numFmtId="169" formatCode="0.00"/>
    <numFmt numFmtId="170" formatCode="General"/>
    <numFmt numFmtId="171" formatCode="mmm\-yy"/>
    <numFmt numFmtId="172" formatCode="#,##0.0"/>
    <numFmt numFmtId="173" formatCode="#,##0.00"/>
    <numFmt numFmtId="174" formatCode="0"/>
    <numFmt numFmtId="175" formatCode="0.0"/>
    <numFmt numFmtId="176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3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8.35" hidden="false" customHeight="false" outlineLevel="0" collapsed="false">
      <c r="A3" s="2" t="s">
        <v>1</v>
      </c>
    </row>
    <row r="4" customFormat="false" ht="28.35" hidden="false" customHeight="false" outlineLevel="0" collapsed="false">
      <c r="A4" s="2" t="s">
        <v>2</v>
      </c>
    </row>
    <row r="5" customFormat="false" ht="28.35" hidden="false" customHeight="false" outlineLevel="0" collapsed="false">
      <c r="A5" s="2" t="s">
        <v>3</v>
      </c>
    </row>
    <row r="6" customFormat="false" ht="28.3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8.3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3" t="s">
        <v>8</v>
      </c>
    </row>
    <row r="2" customFormat="false" ht="15" hidden="false" customHeight="false" outlineLevel="0" collapsed="false">
      <c r="A2" s="0" t="str">
        <f aca="false">Assumptions!D3</f>
        <v>Baseline</v>
      </c>
    </row>
    <row r="4" customFormat="false" ht="15" hidden="false" customHeight="false" outlineLevel="0" collapsed="false">
      <c r="A4" s="0" t="s">
        <v>9</v>
      </c>
      <c r="B4" s="4" t="n">
        <f aca="false">Scenarios!I5</f>
        <v>5712.48</v>
      </c>
    </row>
    <row r="5" customFormat="false" ht="15" hidden="false" customHeight="false" outlineLevel="0" collapsed="false">
      <c r="A5" s="0" t="s">
        <v>10</v>
      </c>
      <c r="B5" s="4" t="n">
        <f aca="false">Scenarios!I6</f>
        <v>5803.50843003328</v>
      </c>
    </row>
    <row r="6" customFormat="false" ht="15" hidden="false" customHeight="false" outlineLevel="0" collapsed="false">
      <c r="A6" s="0" t="s">
        <v>11</v>
      </c>
      <c r="B6" s="4" t="n">
        <f aca="false">Scenarios!I10</f>
        <v>6305.69537626399</v>
      </c>
    </row>
    <row r="7" customFormat="false" ht="15" hidden="false" customHeight="false" outlineLevel="0" collapsed="false">
      <c r="A7" s="0" t="s">
        <v>12</v>
      </c>
      <c r="B7" s="4" t="n">
        <f aca="false">Scenarios!I15</f>
        <v>7157.31898049116</v>
      </c>
    </row>
    <row r="8" customFormat="false" ht="15" hidden="false" customHeight="false" outlineLevel="0" collapsed="false">
      <c r="A8" s="0" t="s">
        <v>13</v>
      </c>
      <c r="B8" s="5" t="n">
        <f aca="false">Scenarios!I17</f>
        <v>0.0228043537943821</v>
      </c>
    </row>
    <row r="9" customFormat="false" ht="15" hidden="false" customHeight="false" outlineLevel="0" collapsed="false">
      <c r="A9" s="0" t="s">
        <v>14</v>
      </c>
      <c r="B9" s="4" t="n">
        <f aca="false">Scenarios!B10</f>
        <v>2574.43457197341</v>
      </c>
    </row>
    <row r="10" customFormat="false" ht="15" hidden="false" customHeight="false" outlineLevel="0" collapsed="false">
      <c r="A10" s="0" t="s">
        <v>15</v>
      </c>
      <c r="B10" s="4" t="n">
        <f aca="false">Scenarios!C10</f>
        <v>1872.64450214842</v>
      </c>
    </row>
    <row r="11" customFormat="false" ht="15" hidden="false" customHeight="false" outlineLevel="0" collapsed="false">
      <c r="A11" s="0" t="s">
        <v>16</v>
      </c>
      <c r="B11" s="4" t="n">
        <f aca="false">Scenarios!D10</f>
        <v>647.75862065428</v>
      </c>
    </row>
    <row r="12" customFormat="false" ht="15" hidden="false" customHeight="false" outlineLevel="0" collapsed="false">
      <c r="A12" s="0" t="s">
        <v>17</v>
      </c>
      <c r="B12" s="6" t="n">
        <f aca="false">LPG_Storage!E9</f>
        <v>-13.986587935717</v>
      </c>
    </row>
    <row r="13" customFormat="false" ht="15" hidden="false" customHeight="false" outlineLevel="0" collapsed="false">
      <c r="A13" s="0" t="s">
        <v>18</v>
      </c>
      <c r="B13" s="6" t="n">
        <f aca="false">LPG_Storage!E5</f>
        <v>-0.955090536148454</v>
      </c>
    </row>
    <row r="14" customFormat="false" ht="15" hidden="false" customHeight="false" outlineLevel="0" collapsed="false">
      <c r="A14" s="0" t="s">
        <v>19</v>
      </c>
      <c r="B14" s="4" t="n">
        <f aca="false">Supply_Security!D10</f>
        <v>86.6843477713498</v>
      </c>
    </row>
    <row r="15" customFormat="false" ht="15" hidden="false" customHeight="false" outlineLevel="0" collapsed="false">
      <c r="A15" s="0" t="s">
        <v>20</v>
      </c>
      <c r="B15" s="4" t="n">
        <f aca="false">Supply_Security!D11</f>
        <v>88.2416141802727</v>
      </c>
    </row>
    <row r="16" customFormat="false" ht="15" hidden="false" customHeight="false" outlineLevel="0" collapsed="false">
      <c r="A16" s="0" t="s">
        <v>21</v>
      </c>
      <c r="B16" s="4" t="n">
        <f aca="false">Project_Economics!B58</f>
        <v>1550.50546264549</v>
      </c>
    </row>
    <row r="17" customFormat="false" ht="15" hidden="false" customHeight="false" outlineLevel="0" collapsed="false">
      <c r="A17" s="0" t="s">
        <v>22</v>
      </c>
      <c r="B17" s="7" t="n">
        <f aca="false">Project_Economics!B59</f>
        <v>0.149465951986145</v>
      </c>
    </row>
    <row r="18" customFormat="false" ht="15" hidden="false" customHeight="false" outlineLevel="0" collapsed="false">
      <c r="A18" s="0" t="s">
        <v>23</v>
      </c>
      <c r="B18" s="4" t="n">
        <f aca="false">Project_Economics!B60</f>
        <v>2812.51376045984</v>
      </c>
    </row>
    <row r="19" customFormat="false" ht="15" hidden="false" customHeight="false" outlineLevel="0" collapsed="false">
      <c r="A19" s="0" t="s">
        <v>24</v>
      </c>
      <c r="B19" s="4" t="n">
        <f aca="false">Project_Economics!B62</f>
        <v>-1262.00829781436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4"/>
    <col collapsed="false" customWidth="true" hidden="false" outlineLevel="0" max="6" min="6" style="0" width="50"/>
  </cols>
  <sheetData>
    <row r="1" customFormat="false" ht="16.15" hidden="false" customHeight="false" outlineLevel="0" collapsed="false">
      <c r="A1" s="8" t="s">
        <v>25</v>
      </c>
    </row>
    <row r="3" customFormat="false" ht="15" hidden="false" customHeight="false" outlineLevel="0" collapsed="false">
      <c r="A3" s="0" t="s">
        <v>26</v>
      </c>
      <c r="B3" s="0" t="s">
        <v>27</v>
      </c>
      <c r="C3" s="9" t="n">
        <v>2</v>
      </c>
      <c r="D3" s="0" t="str">
        <f aca="false">CHOOSE(C3,"Low-demand","Baseline","High-demand")</f>
        <v>Baseline</v>
      </c>
    </row>
    <row r="5" customFormat="false" ht="28.35" hidden="false" customHeight="false" outlineLevel="0" collapsed="false">
      <c r="A5" s="10" t="s">
        <v>28</v>
      </c>
      <c r="B5" s="10"/>
      <c r="C5" s="10" t="s">
        <v>29</v>
      </c>
      <c r="D5" s="10" t="s">
        <v>30</v>
      </c>
      <c r="E5" s="10" t="s">
        <v>31</v>
      </c>
      <c r="F5" s="10" t="s">
        <v>32</v>
      </c>
    </row>
    <row r="6" customFormat="false" ht="15" hidden="false" customHeight="false" outlineLevel="0" collapsed="false">
      <c r="A6" s="0" t="s">
        <v>33</v>
      </c>
      <c r="C6" s="9" t="n">
        <v>2.74</v>
      </c>
      <c r="D6" s="9" t="n">
        <v>3.52</v>
      </c>
      <c r="E6" s="9" t="n">
        <v>4.28</v>
      </c>
      <c r="F6" s="11" t="n">
        <f aca="false">INDEX(C6:E6,$C$3)</f>
        <v>3.52</v>
      </c>
    </row>
    <row r="7" customFormat="false" ht="15" hidden="false" customHeight="false" outlineLevel="0" collapsed="false">
      <c r="A7" s="0" t="s">
        <v>34</v>
      </c>
      <c r="C7" s="9" t="n">
        <v>2.97</v>
      </c>
      <c r="D7" s="9" t="n">
        <v>3.35</v>
      </c>
      <c r="E7" s="9" t="n">
        <v>4.08</v>
      </c>
      <c r="F7" s="11" t="n">
        <f aca="false">INDEX(C7:E7,$C$3)</f>
        <v>3.35</v>
      </c>
    </row>
    <row r="8" customFormat="false" ht="15" hidden="false" customHeight="false" outlineLevel="0" collapsed="false">
      <c r="A8" s="0" t="s">
        <v>35</v>
      </c>
      <c r="C8" s="9" t="n">
        <v>6.34</v>
      </c>
      <c r="D8" s="9" t="n">
        <v>7.26</v>
      </c>
      <c r="E8" s="9" t="n">
        <v>8.82</v>
      </c>
      <c r="F8" s="11" t="n">
        <f aca="false">INDEX(C8:E8,$C$3)</f>
        <v>7.26</v>
      </c>
    </row>
    <row r="9" customFormat="false" ht="15" hidden="false" customHeight="false" outlineLevel="0" collapsed="false">
      <c r="A9" s="0" t="s">
        <v>36</v>
      </c>
      <c r="C9" s="9" t="n">
        <v>1.7</v>
      </c>
      <c r="D9" s="9" t="n">
        <v>1.87</v>
      </c>
      <c r="E9" s="9" t="n">
        <v>2.17</v>
      </c>
      <c r="F9" s="11" t="n">
        <f aca="false">INDEX(C9:E9,$C$3)</f>
        <v>1.87</v>
      </c>
    </row>
    <row r="10" customFormat="false" ht="15" hidden="false" customHeight="false" outlineLevel="0" collapsed="false">
      <c r="A10" s="0" t="s">
        <v>37</v>
      </c>
      <c r="C10" s="9" t="n">
        <v>-5.29</v>
      </c>
      <c r="D10" s="9" t="n">
        <v>-4.57</v>
      </c>
      <c r="E10" s="9" t="n">
        <v>-3.86</v>
      </c>
      <c r="F10" s="11" t="n">
        <f aca="false">INDEX(C10:E10,$C$3)</f>
        <v>-4.57</v>
      </c>
    </row>
    <row r="11" customFormat="false" ht="15" hidden="false" customHeight="false" outlineLevel="0" collapsed="false">
      <c r="A11" s="0" t="s">
        <v>38</v>
      </c>
    </row>
    <row r="12" customFormat="false" ht="15" hidden="false" customHeight="false" outlineLevel="0" collapsed="false">
      <c r="A12" s="10" t="s">
        <v>39</v>
      </c>
      <c r="B12" s="10"/>
      <c r="C12" s="10" t="s">
        <v>40</v>
      </c>
      <c r="D12" s="10" t="s">
        <v>30</v>
      </c>
      <c r="E12" s="10" t="s">
        <v>41</v>
      </c>
      <c r="F12" s="10" t="s">
        <v>27</v>
      </c>
    </row>
    <row r="13" customFormat="false" ht="15" hidden="false" customHeight="false" outlineLevel="0" collapsed="false">
      <c r="A13" s="0" t="s">
        <v>33</v>
      </c>
      <c r="C13" s="9" t="n">
        <v>30</v>
      </c>
      <c r="D13" s="9" t="n">
        <v>20</v>
      </c>
      <c r="E13" s="9" t="n">
        <v>10</v>
      </c>
      <c r="F13" s="12" t="n">
        <f aca="false">INDEX(C13:E13,$C$3)</f>
        <v>20</v>
      </c>
    </row>
    <row r="14" customFormat="false" ht="15" hidden="false" customHeight="false" outlineLevel="0" collapsed="false">
      <c r="A14" s="0" t="s">
        <v>34</v>
      </c>
      <c r="C14" s="9" t="n">
        <v>22</v>
      </c>
      <c r="D14" s="9" t="n">
        <v>15</v>
      </c>
      <c r="E14" s="9" t="n">
        <v>8</v>
      </c>
      <c r="F14" s="12" t="n">
        <f aca="false">INDEX(C14:E14,$C$3)</f>
        <v>15</v>
      </c>
    </row>
    <row r="15" customFormat="false" ht="15" hidden="false" customHeight="false" outlineLevel="0" collapsed="false">
      <c r="A15" s="0" t="s">
        <v>35</v>
      </c>
      <c r="C15" s="9" t="n">
        <v>20</v>
      </c>
      <c r="D15" s="9" t="n">
        <v>10</v>
      </c>
      <c r="E15" s="9" t="n">
        <v>5</v>
      </c>
      <c r="F15" s="12" t="n">
        <f aca="false">INDEX(C15:E15,$C$3)</f>
        <v>10</v>
      </c>
    </row>
    <row r="16" customFormat="false" ht="15" hidden="false" customHeight="false" outlineLevel="0" collapsed="false">
      <c r="A16" s="0" t="s">
        <v>36</v>
      </c>
      <c r="C16" s="9" t="n">
        <v>0</v>
      </c>
      <c r="D16" s="9" t="n">
        <v>0</v>
      </c>
      <c r="E16" s="9" t="n">
        <v>0</v>
      </c>
      <c r="F16" s="12" t="n">
        <f aca="false">INDEX(C16:E16,$C$3)</f>
        <v>0</v>
      </c>
    </row>
    <row r="17" customFormat="false" ht="15" hidden="false" customHeight="false" outlineLevel="0" collapsed="false">
      <c r="A17" s="0" t="s">
        <v>37</v>
      </c>
      <c r="C17" s="9" t="n">
        <v>30</v>
      </c>
      <c r="D17" s="9" t="n">
        <v>20</v>
      </c>
      <c r="E17" s="9" t="n">
        <v>10</v>
      </c>
      <c r="F17" s="12" t="n">
        <f aca="false">INDEX(C17:E17,$C$3)</f>
        <v>20</v>
      </c>
    </row>
    <row r="18" customFormat="false" ht="15" hidden="false" customHeight="false" outlineLevel="0" collapsed="false">
      <c r="A18" s="0" t="s">
        <v>42</v>
      </c>
    </row>
    <row r="19" customFormat="false" ht="15" hidden="false" customHeight="false" outlineLevel="0" collapsed="false">
      <c r="A19" s="10" t="s">
        <v>43</v>
      </c>
      <c r="B19" s="10"/>
      <c r="C19" s="10" t="s">
        <v>44</v>
      </c>
      <c r="D19" s="10" t="s">
        <v>45</v>
      </c>
      <c r="E19" s="10"/>
      <c r="F19" s="10" t="s">
        <v>46</v>
      </c>
    </row>
    <row r="20" customFormat="false" ht="15" hidden="false" customHeight="false" outlineLevel="0" collapsed="false">
      <c r="A20" s="0" t="s">
        <v>33</v>
      </c>
      <c r="C20" s="9" t="n">
        <v>-0.185</v>
      </c>
      <c r="D20" s="9" t="n">
        <v>-0.57</v>
      </c>
      <c r="F20" s="12" t="s">
        <v>47</v>
      </c>
    </row>
    <row r="21" customFormat="false" ht="15" hidden="false" customHeight="false" outlineLevel="0" collapsed="false">
      <c r="A21" s="0" t="s">
        <v>34</v>
      </c>
      <c r="C21" s="9" t="n">
        <v>-0.096</v>
      </c>
      <c r="D21" s="9" t="n">
        <v>-0.259</v>
      </c>
      <c r="F21" s="12" t="s">
        <v>47</v>
      </c>
    </row>
    <row r="22" customFormat="false" ht="15" hidden="false" customHeight="false" outlineLevel="0" collapsed="false">
      <c r="A22" s="0" t="s">
        <v>35</v>
      </c>
      <c r="C22" s="9" t="n">
        <v>-0.15</v>
      </c>
      <c r="D22" s="9" t="n">
        <v>-0.3</v>
      </c>
      <c r="F22" s="12" t="s">
        <v>48</v>
      </c>
    </row>
    <row r="23" customFormat="false" ht="15" hidden="false" customHeight="false" outlineLevel="0" collapsed="false">
      <c r="A23" s="0" t="s">
        <v>36</v>
      </c>
      <c r="C23" s="9" t="n">
        <v>0</v>
      </c>
      <c r="D23" s="9" t="n">
        <v>0</v>
      </c>
      <c r="F23" s="12" t="s">
        <v>48</v>
      </c>
    </row>
    <row r="24" customFormat="false" ht="15" hidden="false" customHeight="false" outlineLevel="0" collapsed="false">
      <c r="A24" s="0" t="s">
        <v>37</v>
      </c>
      <c r="C24" s="9" t="n">
        <v>-0.2</v>
      </c>
      <c r="D24" s="9" t="n">
        <v>-0.5</v>
      </c>
      <c r="F24" s="12" t="s">
        <v>48</v>
      </c>
    </row>
    <row r="26" customFormat="false" ht="15" hidden="false" customHeight="false" outlineLevel="0" collapsed="false">
      <c r="A26" s="0" t="s">
        <v>49</v>
      </c>
      <c r="C26" s="9" t="n">
        <v>0.8</v>
      </c>
      <c r="F26" s="12" t="s">
        <v>48</v>
      </c>
    </row>
    <row r="27" customFormat="false" ht="15" hidden="false" customHeight="false" outlineLevel="0" collapsed="false">
      <c r="A27" s="0" t="s">
        <v>50</v>
      </c>
      <c r="C27" s="9" t="n">
        <v>129.2</v>
      </c>
      <c r="F27" s="12" t="s">
        <v>51</v>
      </c>
    </row>
    <row r="28" customFormat="false" ht="15" hidden="false" customHeight="false" outlineLevel="0" collapsed="false">
      <c r="A28" s="0" t="s">
        <v>52</v>
      </c>
      <c r="C28" s="9" t="n">
        <v>4.68</v>
      </c>
      <c r="F28" s="12" t="s">
        <v>53</v>
      </c>
    </row>
    <row r="29" customFormat="false" ht="15" hidden="false" customHeight="false" outlineLevel="0" collapsed="false">
      <c r="A29" s="0" t="s">
        <v>54</v>
      </c>
      <c r="C29" s="9" t="n">
        <v>-3.19</v>
      </c>
      <c r="F29" s="12" t="s">
        <v>53</v>
      </c>
    </row>
    <row r="30" customFormat="false" ht="15" hidden="false" customHeight="false" outlineLevel="0" collapsed="false">
      <c r="A30" s="0" t="s">
        <v>55</v>
      </c>
      <c r="C30" s="9" t="n">
        <v>30</v>
      </c>
      <c r="F30" s="12" t="s">
        <v>56</v>
      </c>
    </row>
    <row r="31" customFormat="false" ht="15" hidden="false" customHeight="false" outlineLevel="0" collapsed="false">
      <c r="A31" s="0" t="s">
        <v>57</v>
      </c>
      <c r="C31" s="9" t="n">
        <v>44.43</v>
      </c>
      <c r="F31" s="12" t="s">
        <v>53</v>
      </c>
    </row>
    <row r="32" customFormat="false" ht="15" hidden="false" customHeight="false" outlineLevel="0" collapsed="false">
      <c r="A32" s="0" t="s">
        <v>58</v>
      </c>
      <c r="C32" s="9" t="n">
        <v>0</v>
      </c>
      <c r="F32" s="12" t="s">
        <v>59</v>
      </c>
    </row>
    <row r="33" customFormat="false" ht="15" hidden="false" customHeight="false" outlineLevel="0" collapsed="false">
      <c r="A33" s="0" t="s">
        <v>60</v>
      </c>
      <c r="C33" s="9" t="n">
        <v>1.18900437636762</v>
      </c>
      <c r="F33" s="12" t="s">
        <v>47</v>
      </c>
    </row>
    <row r="34" customFormat="false" ht="15" hidden="false" customHeight="false" outlineLevel="0" collapsed="false">
      <c r="A34" s="0" t="s">
        <v>61</v>
      </c>
      <c r="C34" s="9" t="n">
        <v>1.38800162965981</v>
      </c>
      <c r="F34" s="12" t="s">
        <v>47</v>
      </c>
    </row>
    <row r="35" customFormat="false" ht="15" hidden="false" customHeight="false" outlineLevel="0" collapsed="false">
      <c r="A35" s="0" t="s">
        <v>62</v>
      </c>
      <c r="C35" s="9" t="n">
        <v>1.27106260619527</v>
      </c>
      <c r="F35" s="12" t="s">
        <v>47</v>
      </c>
    </row>
    <row r="36" customFormat="false" ht="15" hidden="false" customHeight="false" outlineLevel="0" collapsed="false">
      <c r="A36" s="0" t="s">
        <v>63</v>
      </c>
      <c r="C36" s="9" t="n">
        <v>1.27142857142857</v>
      </c>
      <c r="F36" s="1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11" min="3" style="0" width="14"/>
  </cols>
  <sheetData>
    <row r="1" customFormat="false" ht="28.35" hidden="false" customHeight="false" outlineLevel="0" collapsed="false">
      <c r="A1" s="10" t="s">
        <v>64</v>
      </c>
      <c r="B1" s="10" t="s">
        <v>65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66</v>
      </c>
      <c r="H1" s="10" t="s">
        <v>37</v>
      </c>
      <c r="I1" s="10" t="s">
        <v>67</v>
      </c>
      <c r="J1" s="10" t="s">
        <v>68</v>
      </c>
    </row>
    <row r="2" customFormat="false" ht="15" hidden="false" customHeight="false" outlineLevel="0" collapsed="false">
      <c r="A2" s="13" t="n">
        <v>45292</v>
      </c>
      <c r="B2" s="0" t="n">
        <v>2024</v>
      </c>
      <c r="C2" s="14" t="n">
        <v>177.1</v>
      </c>
      <c r="D2" s="14" t="n">
        <v>123.17</v>
      </c>
      <c r="E2" s="14" t="n">
        <v>32.45</v>
      </c>
      <c r="F2" s="14" t="n">
        <v>60.91</v>
      </c>
      <c r="G2" s="14" t="n">
        <v>17.38</v>
      </c>
      <c r="H2" s="14" t="n">
        <v>3.15</v>
      </c>
      <c r="I2" s="14" t="n">
        <v>0.06</v>
      </c>
      <c r="J2" s="14" t="n">
        <v>414.22</v>
      </c>
    </row>
    <row r="3" customFormat="false" ht="15" hidden="false" customHeight="false" outlineLevel="0" collapsed="false">
      <c r="A3" s="13" t="n">
        <v>45323</v>
      </c>
      <c r="B3" s="0" t="n">
        <v>2024</v>
      </c>
      <c r="C3" s="14" t="n">
        <v>178.65</v>
      </c>
      <c r="D3" s="14" t="n">
        <v>114.16</v>
      </c>
      <c r="E3" s="14" t="n">
        <v>28.07</v>
      </c>
      <c r="F3" s="14" t="n">
        <v>59.99</v>
      </c>
      <c r="G3" s="14" t="n">
        <v>18.73</v>
      </c>
      <c r="H3" s="14" t="n">
        <v>2.83</v>
      </c>
      <c r="I3" s="14" t="n">
        <v>0.11</v>
      </c>
      <c r="J3" s="14" t="n">
        <v>402.54</v>
      </c>
    </row>
    <row r="4" customFormat="false" ht="15" hidden="false" customHeight="false" outlineLevel="0" collapsed="false">
      <c r="A4" s="13" t="n">
        <v>45352</v>
      </c>
      <c r="B4" s="0" t="n">
        <v>2024</v>
      </c>
      <c r="C4" s="14" t="n">
        <v>191.86</v>
      </c>
      <c r="D4" s="14" t="n">
        <v>120.07</v>
      </c>
      <c r="E4" s="14" t="n">
        <v>33.66</v>
      </c>
      <c r="F4" s="14" t="n">
        <v>57.55</v>
      </c>
      <c r="G4" s="14" t="n">
        <v>14.15</v>
      </c>
      <c r="H4" s="14" t="n">
        <v>2.51</v>
      </c>
      <c r="I4" s="14" t="n">
        <v>0.06</v>
      </c>
      <c r="J4" s="14" t="n">
        <v>419.86</v>
      </c>
    </row>
    <row r="5" customFormat="false" ht="15" hidden="false" customHeight="false" outlineLevel="0" collapsed="false">
      <c r="A5" s="13" t="n">
        <v>45383</v>
      </c>
      <c r="B5" s="0" t="n">
        <v>2024</v>
      </c>
      <c r="C5" s="14" t="n">
        <v>170.42</v>
      </c>
      <c r="D5" s="14" t="n">
        <v>113.73</v>
      </c>
      <c r="E5" s="14" t="n">
        <v>31.8</v>
      </c>
      <c r="F5" s="14" t="n">
        <v>59.57</v>
      </c>
      <c r="G5" s="14" t="n">
        <v>22.64</v>
      </c>
      <c r="H5" s="14" t="n">
        <v>3.36</v>
      </c>
      <c r="I5" s="14" t="n">
        <v>0.04</v>
      </c>
      <c r="J5" s="14" t="n">
        <v>401.56</v>
      </c>
    </row>
    <row r="6" customFormat="false" ht="15" hidden="false" customHeight="false" outlineLevel="0" collapsed="false">
      <c r="A6" s="13" t="n">
        <v>45413</v>
      </c>
      <c r="B6" s="0" t="n">
        <v>2024</v>
      </c>
      <c r="C6" s="14" t="n">
        <v>182.42</v>
      </c>
      <c r="D6" s="14" t="n">
        <v>117.91</v>
      </c>
      <c r="E6" s="14" t="n">
        <v>36.17</v>
      </c>
      <c r="F6" s="14" t="n">
        <v>59.8</v>
      </c>
      <c r="G6" s="14" t="n">
        <v>24.97</v>
      </c>
      <c r="H6" s="14" t="n">
        <v>3.22</v>
      </c>
      <c r="I6" s="14" t="n">
        <v>0.08</v>
      </c>
      <c r="J6" s="14" t="n">
        <v>424.57</v>
      </c>
    </row>
    <row r="7" customFormat="false" ht="15" hidden="false" customHeight="false" outlineLevel="0" collapsed="false">
      <c r="A7" s="13" t="n">
        <v>45444</v>
      </c>
      <c r="B7" s="0" t="n">
        <v>2024</v>
      </c>
      <c r="C7" s="14" t="n">
        <v>165.78</v>
      </c>
      <c r="D7" s="14" t="n">
        <v>106.84</v>
      </c>
      <c r="E7" s="14" t="n">
        <v>33.3</v>
      </c>
      <c r="F7" s="14" t="n">
        <v>60.61</v>
      </c>
      <c r="G7" s="14" t="n">
        <v>13.07</v>
      </c>
      <c r="H7" s="14" t="n">
        <v>3.11</v>
      </c>
      <c r="I7" s="14" t="n">
        <v>0.07</v>
      </c>
      <c r="J7" s="14" t="n">
        <v>382.78</v>
      </c>
    </row>
    <row r="8" customFormat="false" ht="15" hidden="false" customHeight="false" outlineLevel="0" collapsed="false">
      <c r="A8" s="13" t="n">
        <v>45474</v>
      </c>
      <c r="B8" s="0" t="n">
        <v>2024</v>
      </c>
      <c r="C8" s="14" t="n">
        <v>192.18</v>
      </c>
      <c r="D8" s="14" t="n">
        <v>126.09</v>
      </c>
      <c r="E8" s="14" t="n">
        <v>37.35</v>
      </c>
      <c r="F8" s="14" t="n">
        <v>64.78</v>
      </c>
      <c r="G8" s="14" t="n">
        <v>21.63</v>
      </c>
      <c r="H8" s="14" t="n">
        <v>3.39</v>
      </c>
      <c r="I8" s="14" t="n">
        <v>0.09</v>
      </c>
      <c r="J8" s="14" t="n">
        <v>445.51</v>
      </c>
    </row>
    <row r="9" customFormat="false" ht="15" hidden="false" customHeight="false" outlineLevel="0" collapsed="false">
      <c r="A9" s="13" t="n">
        <v>45505</v>
      </c>
      <c r="B9" s="0" t="n">
        <v>2024</v>
      </c>
      <c r="C9" s="14" t="n">
        <v>195.49</v>
      </c>
      <c r="D9" s="14" t="n">
        <v>128.32</v>
      </c>
      <c r="E9" s="14" t="n">
        <v>38.27</v>
      </c>
      <c r="F9" s="14" t="n">
        <v>57.84</v>
      </c>
      <c r="G9" s="14" t="n">
        <v>28.88</v>
      </c>
      <c r="H9" s="14" t="n">
        <v>3.44</v>
      </c>
      <c r="I9" s="14" t="n">
        <v>0.07</v>
      </c>
      <c r="J9" s="14" t="n">
        <v>452.31</v>
      </c>
    </row>
    <row r="10" customFormat="false" ht="15" hidden="false" customHeight="false" outlineLevel="0" collapsed="false">
      <c r="A10" s="13" t="n">
        <v>45536</v>
      </c>
      <c r="B10" s="0" t="n">
        <v>2024</v>
      </c>
      <c r="C10" s="14" t="n">
        <v>185.08</v>
      </c>
      <c r="D10" s="14" t="n">
        <v>123.68</v>
      </c>
      <c r="E10" s="14" t="n">
        <v>33.83</v>
      </c>
      <c r="F10" s="14" t="n">
        <v>61.85</v>
      </c>
      <c r="G10" s="14" t="n">
        <v>17.85</v>
      </c>
      <c r="H10" s="14" t="n">
        <v>2.88</v>
      </c>
      <c r="I10" s="14" t="n">
        <v>0.08</v>
      </c>
      <c r="J10" s="14" t="n">
        <v>425.25</v>
      </c>
    </row>
    <row r="11" customFormat="false" ht="15" hidden="false" customHeight="false" outlineLevel="0" collapsed="false">
      <c r="A11" s="13" t="n">
        <v>45566</v>
      </c>
      <c r="B11" s="0" t="n">
        <v>2024</v>
      </c>
      <c r="C11" s="14" t="n">
        <v>195.58</v>
      </c>
      <c r="D11" s="14" t="n">
        <v>132.47</v>
      </c>
      <c r="E11" s="14" t="n">
        <v>36.44</v>
      </c>
      <c r="F11" s="14" t="n">
        <v>62.35</v>
      </c>
      <c r="G11" s="14" t="n">
        <v>31.74</v>
      </c>
      <c r="H11" s="14" t="n">
        <v>3.25</v>
      </c>
      <c r="I11" s="14" t="n">
        <v>0.1</v>
      </c>
      <c r="J11" s="14" t="n">
        <v>461.93</v>
      </c>
    </row>
    <row r="12" customFormat="false" ht="15" hidden="false" customHeight="false" outlineLevel="0" collapsed="false">
      <c r="A12" s="13" t="n">
        <v>45597</v>
      </c>
      <c r="B12" s="0" t="n">
        <v>2024</v>
      </c>
      <c r="C12" s="14" t="n">
        <v>180</v>
      </c>
      <c r="D12" s="14" t="n">
        <v>121.89</v>
      </c>
      <c r="E12" s="14" t="n">
        <v>36.05</v>
      </c>
      <c r="F12" s="14" t="n">
        <v>63.64</v>
      </c>
      <c r="G12" s="14" t="n">
        <v>15.64</v>
      </c>
      <c r="H12" s="14" t="n">
        <v>3.21</v>
      </c>
      <c r="I12" s="14" t="n">
        <v>0.19</v>
      </c>
      <c r="J12" s="14" t="n">
        <v>420.62</v>
      </c>
    </row>
    <row r="13" customFormat="false" ht="15" hidden="false" customHeight="false" outlineLevel="0" collapsed="false">
      <c r="A13" s="13" t="n">
        <v>45627</v>
      </c>
      <c r="B13" s="0" t="n">
        <v>2024</v>
      </c>
      <c r="C13" s="14" t="n">
        <v>179.04</v>
      </c>
      <c r="D13" s="14" t="n">
        <v>144.36</v>
      </c>
      <c r="E13" s="14" t="n">
        <v>37.49</v>
      </c>
      <c r="F13" s="14" t="n">
        <v>63.45</v>
      </c>
      <c r="G13" s="14" t="n">
        <v>23.43</v>
      </c>
      <c r="H13" s="14" t="n">
        <v>2.77</v>
      </c>
      <c r="I13" s="14" t="n">
        <v>0.12</v>
      </c>
      <c r="J13" s="14" t="n">
        <v>450.66</v>
      </c>
    </row>
    <row r="14" customFormat="false" ht="15" hidden="false" customHeight="false" outlineLevel="0" collapsed="false">
      <c r="A14" s="13" t="n">
        <v>45658</v>
      </c>
      <c r="B14" s="0" t="n">
        <v>2025</v>
      </c>
      <c r="C14" s="14" t="n">
        <v>194.79</v>
      </c>
      <c r="D14" s="14" t="n">
        <v>134.93</v>
      </c>
      <c r="E14" s="14" t="n">
        <v>38.1</v>
      </c>
      <c r="F14" s="14" t="n">
        <v>67.29</v>
      </c>
      <c r="G14" s="14" t="n">
        <v>25.14</v>
      </c>
      <c r="H14" s="14" t="n">
        <v>3.86</v>
      </c>
      <c r="I14" s="14" t="n">
        <v>0.07</v>
      </c>
      <c r="J14" s="14" t="n">
        <v>464.18</v>
      </c>
    </row>
    <row r="15" customFormat="false" ht="15" hidden="false" customHeight="false" outlineLevel="0" collapsed="false">
      <c r="A15" s="13" t="n">
        <v>45689</v>
      </c>
      <c r="B15" s="0" t="n">
        <v>2025</v>
      </c>
      <c r="C15" s="14" t="n">
        <v>183.34</v>
      </c>
      <c r="D15" s="14" t="n">
        <v>124.54</v>
      </c>
      <c r="E15" s="14" t="n">
        <v>34.15</v>
      </c>
      <c r="F15" s="14" t="n">
        <v>59.46</v>
      </c>
      <c r="G15" s="14" t="n">
        <v>26.64</v>
      </c>
      <c r="H15" s="14" t="n">
        <v>3.36</v>
      </c>
      <c r="I15" s="14" t="n">
        <v>0.13</v>
      </c>
      <c r="J15" s="14" t="n">
        <v>431.62</v>
      </c>
    </row>
    <row r="16" customFormat="false" ht="15" hidden="false" customHeight="false" outlineLevel="0" collapsed="false">
      <c r="A16" s="13" t="n">
        <v>45717</v>
      </c>
      <c r="B16" s="0" t="n">
        <v>2025</v>
      </c>
      <c r="C16" s="14" t="n">
        <v>194.55</v>
      </c>
      <c r="D16" s="14" t="n">
        <v>130.41</v>
      </c>
      <c r="E16" s="14" t="n">
        <v>33.08</v>
      </c>
      <c r="F16" s="14" t="n">
        <v>61.92</v>
      </c>
      <c r="G16" s="14" t="n">
        <v>36.1</v>
      </c>
      <c r="H16" s="14" t="n">
        <v>3.96</v>
      </c>
      <c r="I16" s="14" t="n">
        <v>0.12</v>
      </c>
      <c r="J16" s="14" t="n">
        <v>460.14</v>
      </c>
    </row>
    <row r="17" customFormat="false" ht="15" hidden="false" customHeight="false" outlineLevel="0" collapsed="false">
      <c r="A17" s="13" t="n">
        <v>45748</v>
      </c>
      <c r="B17" s="0" t="n">
        <v>2025</v>
      </c>
      <c r="C17" s="14" t="n">
        <v>199.02</v>
      </c>
      <c r="D17" s="14" t="n">
        <v>140.86</v>
      </c>
      <c r="E17" s="14" t="n">
        <v>39.19</v>
      </c>
      <c r="F17" s="14" t="n">
        <v>54.4</v>
      </c>
      <c r="G17" s="14" t="n">
        <v>31.71</v>
      </c>
      <c r="H17" s="14" t="n">
        <v>3.51</v>
      </c>
      <c r="I17" s="14" t="n">
        <v>0.11</v>
      </c>
      <c r="J17" s="14" t="n">
        <v>468.8</v>
      </c>
    </row>
    <row r="18" customFormat="false" ht="15" hidden="false" customHeight="false" outlineLevel="0" collapsed="false">
      <c r="A18" s="13" t="n">
        <v>45778</v>
      </c>
      <c r="B18" s="0" t="n">
        <v>2025</v>
      </c>
      <c r="C18" s="14" t="n">
        <v>198.84</v>
      </c>
      <c r="D18" s="14" t="n">
        <v>137.9</v>
      </c>
      <c r="E18" s="14" t="n">
        <v>40.48</v>
      </c>
      <c r="F18" s="14" t="n">
        <v>55.01</v>
      </c>
      <c r="G18" s="14" t="n">
        <v>37.24</v>
      </c>
      <c r="H18" s="14" t="n">
        <v>3.68</v>
      </c>
      <c r="I18" s="14" t="n">
        <v>0.12</v>
      </c>
      <c r="J18" s="14" t="n">
        <v>473.27</v>
      </c>
    </row>
    <row r="19" customFormat="false" ht="15" hidden="false" customHeight="false" outlineLevel="0" collapsed="false">
      <c r="A19" s="13" t="n">
        <v>45809</v>
      </c>
      <c r="B19" s="0" t="n">
        <v>2025</v>
      </c>
      <c r="C19" s="14" t="n">
        <v>186.57</v>
      </c>
      <c r="D19" s="14" t="n">
        <v>129.67</v>
      </c>
      <c r="E19" s="14" t="n">
        <v>39.52</v>
      </c>
      <c r="F19" s="14" t="n">
        <v>54.36</v>
      </c>
      <c r="G19" s="14" t="n">
        <v>30.52</v>
      </c>
      <c r="H19" s="14" t="n">
        <v>3.55</v>
      </c>
      <c r="I19" s="14" t="n">
        <v>0.09</v>
      </c>
      <c r="J19" s="14" t="n">
        <v>444.28</v>
      </c>
    </row>
    <row r="20" customFormat="false" ht="15" hidden="false" customHeight="false" outlineLevel="0" collapsed="false">
      <c r="A20" s="13" t="n">
        <v>45839</v>
      </c>
      <c r="B20" s="0" t="n">
        <v>2025</v>
      </c>
      <c r="C20" s="14" t="n">
        <v>213.76</v>
      </c>
      <c r="D20" s="14" t="n">
        <v>144.83</v>
      </c>
      <c r="E20" s="14" t="n">
        <v>41.53</v>
      </c>
      <c r="F20" s="14" t="n">
        <v>58.98</v>
      </c>
      <c r="G20" s="14" t="n">
        <v>40.3</v>
      </c>
      <c r="H20" s="14" t="n">
        <v>2.99</v>
      </c>
      <c r="I20" s="14" t="n">
        <v>0.08</v>
      </c>
      <c r="J20" s="14" t="n">
        <v>502.47</v>
      </c>
    </row>
    <row r="21" customFormat="false" ht="15" hidden="false" customHeight="false" outlineLevel="0" collapsed="false">
      <c r="A21" s="13" t="n">
        <v>45870</v>
      </c>
      <c r="B21" s="0" t="n">
        <v>2025</v>
      </c>
      <c r="C21" s="14" t="n">
        <v>213.43</v>
      </c>
      <c r="D21" s="14" t="n">
        <v>140.21</v>
      </c>
      <c r="E21" s="14" t="n">
        <v>42.71</v>
      </c>
      <c r="F21" s="14" t="n">
        <v>61.78</v>
      </c>
      <c r="G21" s="14" t="n">
        <v>40.2</v>
      </c>
      <c r="H21" s="14" t="n">
        <v>3.67</v>
      </c>
      <c r="I21" s="14" t="n">
        <v>0.1</v>
      </c>
      <c r="J21" s="14" t="n">
        <v>502.1</v>
      </c>
    </row>
    <row r="22" customFormat="false" ht="15" hidden="false" customHeight="false" outlineLevel="0" collapsed="false">
      <c r="A22" s="13" t="n">
        <v>45901</v>
      </c>
      <c r="B22" s="0" t="n">
        <v>2025</v>
      </c>
      <c r="C22" s="14" t="n">
        <v>205.61</v>
      </c>
      <c r="D22" s="14" t="n">
        <v>143.57</v>
      </c>
      <c r="E22" s="14" t="n">
        <v>42.04</v>
      </c>
      <c r="F22" s="14" t="n">
        <v>56.6</v>
      </c>
      <c r="G22" s="14" t="n">
        <v>32.32</v>
      </c>
      <c r="H22" s="14" t="n">
        <v>4.1</v>
      </c>
      <c r="I22" s="14" t="n">
        <v>0.08</v>
      </c>
      <c r="J22" s="14" t="n">
        <v>484.32</v>
      </c>
    </row>
    <row r="23" customFormat="false" ht="15" hidden="false" customHeight="false" outlineLevel="0" collapsed="false">
      <c r="A23" s="13" t="n">
        <v>45931</v>
      </c>
      <c r="B23" s="0" t="n">
        <v>2025</v>
      </c>
      <c r="C23" s="14" t="n">
        <v>219.72</v>
      </c>
      <c r="D23" s="14" t="n">
        <v>146.9</v>
      </c>
      <c r="E23" s="14" t="n">
        <v>41.22</v>
      </c>
      <c r="F23" s="14" t="n">
        <v>56.44</v>
      </c>
      <c r="G23" s="14" t="n">
        <v>37.32</v>
      </c>
      <c r="H23" s="14" t="n">
        <v>3.68</v>
      </c>
      <c r="I23" s="14" t="n">
        <v>0.09</v>
      </c>
      <c r="J23" s="14" t="n">
        <v>505.37</v>
      </c>
    </row>
    <row r="24" customFormat="false" ht="15" hidden="false" customHeight="false" outlineLevel="0" collapsed="false">
      <c r="A24" s="13" t="n">
        <v>45962</v>
      </c>
      <c r="B24" s="0" t="n">
        <v>2025</v>
      </c>
      <c r="C24" s="14" t="n">
        <v>196.55</v>
      </c>
      <c r="D24" s="14" t="n">
        <v>128.36</v>
      </c>
      <c r="E24" s="14" t="n">
        <v>41.39</v>
      </c>
      <c r="F24" s="14" t="n">
        <v>55.71</v>
      </c>
      <c r="G24" s="14" t="n">
        <v>41.81</v>
      </c>
      <c r="H24" s="14" t="n">
        <v>3.69</v>
      </c>
      <c r="I24" s="14" t="n">
        <v>0.11</v>
      </c>
      <c r="J24" s="14" t="n">
        <v>467.62</v>
      </c>
    </row>
    <row r="25" customFormat="false" ht="15" hidden="false" customHeight="false" outlineLevel="0" collapsed="false">
      <c r="A25" s="13" t="n">
        <v>45992</v>
      </c>
      <c r="B25" s="0" t="n">
        <v>2025</v>
      </c>
      <c r="C25" s="14" t="n">
        <v>212.94</v>
      </c>
      <c r="D25" s="14" t="n">
        <v>155.3</v>
      </c>
      <c r="E25" s="14" t="n">
        <v>42.54</v>
      </c>
      <c r="F25" s="14" t="n">
        <v>59.39</v>
      </c>
      <c r="G25" s="14" t="n">
        <v>33.96</v>
      </c>
      <c r="H25" s="14" t="n">
        <v>4.07</v>
      </c>
      <c r="I25" s="14" t="n">
        <v>0.11</v>
      </c>
      <c r="J25" s="14" t="n">
        <v>508.31</v>
      </c>
    </row>
    <row r="26" customFormat="false" ht="15" hidden="false" customHeight="false" outlineLevel="0" collapsed="false">
      <c r="A26" s="13" t="n">
        <v>46023</v>
      </c>
      <c r="B26" s="0" t="n">
        <v>2026</v>
      </c>
      <c r="C26" s="14" t="n">
        <v>209.87</v>
      </c>
      <c r="D26" s="14" t="n">
        <v>154.16</v>
      </c>
      <c r="E26" s="14" t="n">
        <v>43.72</v>
      </c>
      <c r="F26" s="14" t="n">
        <v>59.47</v>
      </c>
      <c r="G26" s="14" t="n">
        <v>29.37</v>
      </c>
      <c r="H26" s="14" t="n">
        <v>4.62</v>
      </c>
      <c r="I26" s="14" t="n">
        <v>0.11</v>
      </c>
      <c r="J26" s="14" t="n">
        <v>501.32</v>
      </c>
    </row>
    <row r="27" customFormat="false" ht="15" hidden="false" customHeight="false" outlineLevel="0" collapsed="false">
      <c r="A27" s="13" t="n">
        <v>46054</v>
      </c>
      <c r="B27" s="0" t="n">
        <v>2026</v>
      </c>
      <c r="C27" s="14" t="n">
        <v>202.46</v>
      </c>
      <c r="D27" s="14" t="n">
        <v>137.6</v>
      </c>
      <c r="E27" s="14" t="n">
        <v>36.48</v>
      </c>
      <c r="F27" s="14" t="n">
        <v>54.57</v>
      </c>
      <c r="G27" s="14" t="n">
        <v>22.51</v>
      </c>
      <c r="H27" s="14" t="n">
        <v>4.16</v>
      </c>
      <c r="I27" s="14" t="n">
        <v>0.11</v>
      </c>
      <c r="J27" s="14" t="n">
        <v>457.89</v>
      </c>
    </row>
    <row r="28" customFormat="false" ht="15" hidden="false" customHeight="false" outlineLevel="0" collapsed="false">
      <c r="A28" s="13" t="n">
        <v>46082</v>
      </c>
      <c r="B28" s="0" t="n">
        <v>2026</v>
      </c>
      <c r="C28" s="14"/>
      <c r="D28" s="14"/>
      <c r="E28" s="14"/>
      <c r="F28" s="14"/>
      <c r="G28" s="14"/>
      <c r="H28" s="14"/>
      <c r="I28" s="14"/>
      <c r="J28" s="14"/>
    </row>
    <row r="31" customFormat="false" ht="15" hidden="false" customHeight="false" outlineLevel="0" collapsed="false">
      <c r="A31" s="15" t="s">
        <v>69</v>
      </c>
    </row>
    <row r="32" customFormat="false" ht="15" hidden="false" customHeight="false" outlineLevel="0" collapsed="false">
      <c r="A32" s="0" t="n">
        <v>2024</v>
      </c>
      <c r="C32" s="14" t="n">
        <f aca="false">SUMIFS(C2:C28,$B$2:$B$28,$A32)</f>
        <v>2193.6</v>
      </c>
      <c r="D32" s="14" t="n">
        <f aca="false">SUMIFS(D2:D28,$B$2:$B$28,$A32)</f>
        <v>1472.69</v>
      </c>
      <c r="E32" s="14" t="n">
        <f aca="false">SUMIFS(E2:E28,$B$2:$B$28,$A32)</f>
        <v>414.88</v>
      </c>
      <c r="F32" s="14" t="n">
        <f aca="false">SUMIFS(F2:F28,$B$2:$B$28,$A32)</f>
        <v>732.34</v>
      </c>
      <c r="G32" s="14" t="n">
        <f aca="false">SUMIFS(G2:G28,$B$2:$B$28,$A32)</f>
        <v>250.11</v>
      </c>
      <c r="H32" s="14" t="n">
        <f aca="false">SUMIFS(H2:H28,$B$2:$B$28,$A32)</f>
        <v>37.12</v>
      </c>
      <c r="I32" s="14" t="n">
        <f aca="false">SUMIFS(I2:I28,$B$2:$B$28,$A32)</f>
        <v>1.07</v>
      </c>
      <c r="J32" s="14" t="n">
        <f aca="false">SUMIFS(J2:J28,$B$2:$B$28,$A32)</f>
        <v>5101.81</v>
      </c>
    </row>
    <row r="33" customFormat="false" ht="15" hidden="false" customHeight="false" outlineLevel="0" collapsed="false">
      <c r="A33" s="0" t="n">
        <v>2025</v>
      </c>
      <c r="C33" s="14" t="n">
        <f aca="false">SUMIFS(C2:C28,$B$2:$B$28,$A33)</f>
        <v>2419.12</v>
      </c>
      <c r="D33" s="14" t="n">
        <f aca="false">SUMIFS(D2:D28,$B$2:$B$28,$A33)</f>
        <v>1657.48</v>
      </c>
      <c r="E33" s="14" t="n">
        <f aca="false">SUMIFS(E2:E28,$B$2:$B$28,$A33)</f>
        <v>475.95</v>
      </c>
      <c r="F33" s="14" t="n">
        <f aca="false">SUMIFS(F2:F28,$B$2:$B$28,$A33)</f>
        <v>701.34</v>
      </c>
      <c r="G33" s="14" t="n">
        <f aca="false">SUMIFS(G2:G28,$B$2:$B$28,$A33)</f>
        <v>413.26</v>
      </c>
      <c r="H33" s="14" t="n">
        <f aca="false">SUMIFS(H2:H28,$B$2:$B$28,$A33)</f>
        <v>44.12</v>
      </c>
      <c r="I33" s="14" t="n">
        <f aca="false">SUMIFS(I2:I28,$B$2:$B$28,$A33)</f>
        <v>1.21</v>
      </c>
      <c r="J33" s="14" t="n">
        <f aca="false">SUMIFS(J2:J28,$B$2:$B$28,$A33)</f>
        <v>5712.48</v>
      </c>
    </row>
    <row r="34" customFormat="false" ht="15" hidden="false" customHeight="false" outlineLevel="0" collapsed="false">
      <c r="A34" s="15" t="s">
        <v>70</v>
      </c>
      <c r="C34" s="7" t="n">
        <f aca="false">C33/C32-1</f>
        <v>0.102808169219548</v>
      </c>
      <c r="D34" s="7" t="n">
        <f aca="false">D33/D32-1</f>
        <v>0.125477867032437</v>
      </c>
      <c r="E34" s="7" t="n">
        <f aca="false">E33/E32-1</f>
        <v>0.147199190127266</v>
      </c>
      <c r="F34" s="7" t="n">
        <f aca="false">F33/F32-1</f>
        <v>-0.0423300652702296</v>
      </c>
      <c r="G34" s="7" t="n">
        <f aca="false">G33/G32-1</f>
        <v>0.652312982287793</v>
      </c>
      <c r="H34" s="7" t="n">
        <f aca="false">H33/H32-1</f>
        <v>0.188577586206897</v>
      </c>
      <c r="I34" s="7" t="n">
        <f aca="false">I33/I32-1</f>
        <v>0.130841121495327</v>
      </c>
      <c r="J34" s="7" t="n">
        <f aca="false">J33/J32-1</f>
        <v>0.119696735080295</v>
      </c>
    </row>
    <row r="35" customFormat="false" ht="15" hidden="false" customHeight="false" outlineLevel="0" collapsed="false">
      <c r="A35" s="15" t="s">
        <v>71</v>
      </c>
      <c r="C35" s="7" t="n">
        <f aca="false">C33/$J33</f>
        <v>0.423479819623001</v>
      </c>
      <c r="D35" s="7" t="n">
        <f aca="false">D33/$J33</f>
        <v>0.290150687617287</v>
      </c>
      <c r="E35" s="7" t="n">
        <f aca="false">E33/$J33</f>
        <v>0.0833175783547601</v>
      </c>
      <c r="F35" s="7" t="n">
        <f aca="false">F33/$J33</f>
        <v>0.12277329636165</v>
      </c>
      <c r="G35" s="7" t="n">
        <f aca="false">G33/$J33</f>
        <v>0.0723433605019186</v>
      </c>
      <c r="H35" s="7" t="n">
        <f aca="false">H33/$J33</f>
        <v>0.00772344060723188</v>
      </c>
      <c r="I35" s="7" t="n">
        <f aca="false">I33/$J33</f>
        <v>0.000211816934151192</v>
      </c>
      <c r="J35" s="7" t="n">
        <f aca="false">J33/$J33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2"/>
  </cols>
  <sheetData>
    <row r="1" customFormat="false" ht="28.35" hidden="false" customHeight="false" outlineLevel="0" collapsed="false">
      <c r="A1" s="10" t="s">
        <v>64</v>
      </c>
      <c r="B1" s="10" t="s">
        <v>72</v>
      </c>
      <c r="C1" s="10" t="s">
        <v>73</v>
      </c>
      <c r="D1" s="10" t="s">
        <v>74</v>
      </c>
      <c r="E1" s="10" t="s">
        <v>75</v>
      </c>
      <c r="F1" s="10" t="s">
        <v>76</v>
      </c>
    </row>
    <row r="2" customFormat="false" ht="15" hidden="false" customHeight="false" outlineLevel="0" collapsed="false">
      <c r="A2" s="13" t="n">
        <v>45658</v>
      </c>
      <c r="B2" s="16" t="n">
        <v>86.22</v>
      </c>
      <c r="C2" s="16" t="n">
        <v>152.18</v>
      </c>
      <c r="D2" s="16" t="n">
        <v>3122.16</v>
      </c>
      <c r="E2" s="16" t="n">
        <v>167.84</v>
      </c>
      <c r="F2" s="16" t="n">
        <v>177.25</v>
      </c>
    </row>
    <row r="3" customFormat="false" ht="15" hidden="false" customHeight="false" outlineLevel="0" collapsed="false">
      <c r="A3" s="13" t="n">
        <v>45689</v>
      </c>
      <c r="B3" s="16" t="n">
        <v>86.51</v>
      </c>
      <c r="C3" s="16" t="n">
        <v>152.18</v>
      </c>
      <c r="D3" s="16" t="n">
        <v>3139.65</v>
      </c>
      <c r="E3" s="16" t="n">
        <v>167.84</v>
      </c>
      <c r="F3" s="16" t="n">
        <v>177.25</v>
      </c>
    </row>
    <row r="4" customFormat="false" ht="15" hidden="false" customHeight="false" outlineLevel="0" collapsed="false">
      <c r="A4" s="13" t="n">
        <v>45717</v>
      </c>
      <c r="B4" s="16" t="n">
        <v>86.64</v>
      </c>
      <c r="C4" s="16" t="n">
        <v>152.18</v>
      </c>
      <c r="D4" s="16" t="n">
        <v>3146.03</v>
      </c>
      <c r="E4" s="16" t="n">
        <v>167.84</v>
      </c>
      <c r="F4" s="16" t="n">
        <v>177.25</v>
      </c>
    </row>
    <row r="5" customFormat="false" ht="15" hidden="false" customHeight="false" outlineLevel="0" collapsed="false">
      <c r="A5" s="13" t="n">
        <v>45748</v>
      </c>
      <c r="B5" s="16" t="n">
        <v>86.72</v>
      </c>
      <c r="C5" s="16" t="n">
        <v>149.78</v>
      </c>
      <c r="D5" s="16" t="n">
        <v>3156.19</v>
      </c>
      <c r="E5" s="16" t="n">
        <v>165.64</v>
      </c>
      <c r="F5" s="16" t="n">
        <v>175.3</v>
      </c>
    </row>
    <row r="6" customFormat="false" ht="15" hidden="false" customHeight="false" outlineLevel="0" collapsed="false">
      <c r="A6" s="13" t="n">
        <v>45778</v>
      </c>
      <c r="B6" s="16" t="n">
        <v>88.01</v>
      </c>
      <c r="C6" s="16" t="n">
        <v>149.78</v>
      </c>
      <c r="D6" s="16" t="n">
        <v>3141.3</v>
      </c>
      <c r="E6" s="16" t="n">
        <v>165.64</v>
      </c>
      <c r="F6" s="16" t="n">
        <v>175.3</v>
      </c>
    </row>
    <row r="7" customFormat="false" ht="15" hidden="false" customHeight="false" outlineLevel="0" collapsed="false">
      <c r="A7" s="13" t="n">
        <v>45809</v>
      </c>
      <c r="B7" s="16" t="n">
        <v>88.89</v>
      </c>
      <c r="C7" s="16" t="n">
        <v>147.92</v>
      </c>
      <c r="D7" s="16" t="n">
        <v>3134.91</v>
      </c>
      <c r="E7" s="16" t="n">
        <v>163.89</v>
      </c>
      <c r="F7" s="16" t="n">
        <v>178.19</v>
      </c>
    </row>
    <row r="8" customFormat="false" ht="15" hidden="false" customHeight="false" outlineLevel="0" collapsed="false">
      <c r="A8" s="13" t="n">
        <v>45839</v>
      </c>
      <c r="B8" s="16" t="n">
        <v>89.84</v>
      </c>
      <c r="C8" s="16" t="n">
        <v>157.76</v>
      </c>
      <c r="D8" s="16" t="n">
        <v>3146.58</v>
      </c>
      <c r="E8" s="16" t="n">
        <v>172.75</v>
      </c>
      <c r="F8" s="16" t="n">
        <v>187.37</v>
      </c>
    </row>
    <row r="9" customFormat="false" ht="15" hidden="false" customHeight="false" outlineLevel="0" collapsed="false">
      <c r="A9" s="13" t="n">
        <v>45870</v>
      </c>
      <c r="B9" s="16" t="n">
        <v>89.83</v>
      </c>
      <c r="C9" s="16" t="n">
        <v>156.76</v>
      </c>
      <c r="D9" s="16" t="n">
        <v>3158.35</v>
      </c>
      <c r="E9" s="16" t="n">
        <v>172.75</v>
      </c>
      <c r="F9" s="16" t="n">
        <v>186.37</v>
      </c>
    </row>
    <row r="10" customFormat="false" ht="15" hidden="false" customHeight="false" outlineLevel="0" collapsed="false">
      <c r="A10" s="13" t="n">
        <v>45901</v>
      </c>
      <c r="B10" s="16" t="n">
        <v>92.87</v>
      </c>
      <c r="C10" s="16" t="n">
        <v>155.96</v>
      </c>
      <c r="D10" s="16" t="n">
        <v>3151.65</v>
      </c>
      <c r="E10" s="16" t="n">
        <v>172.64</v>
      </c>
      <c r="F10" s="16" t="n">
        <v>185.59</v>
      </c>
    </row>
    <row r="11" customFormat="false" ht="15" hidden="false" customHeight="false" outlineLevel="0" collapsed="false">
      <c r="A11" s="13" t="n">
        <v>45931</v>
      </c>
      <c r="B11" s="16" t="n">
        <v>92.78</v>
      </c>
      <c r="C11" s="16" t="n">
        <v>155.96</v>
      </c>
      <c r="D11" s="16" t="n">
        <v>3133.49</v>
      </c>
      <c r="E11" s="16" t="n">
        <v>172.64</v>
      </c>
      <c r="F11" s="16" t="n">
        <v>185.59</v>
      </c>
    </row>
    <row r="12" customFormat="false" ht="15" hidden="false" customHeight="false" outlineLevel="0" collapsed="false">
      <c r="A12" s="13" t="n">
        <v>45962</v>
      </c>
      <c r="B12" s="16" t="n">
        <v>92.91</v>
      </c>
      <c r="C12" s="16" t="n">
        <v>155.96</v>
      </c>
      <c r="D12" s="16" t="n">
        <v>3132.93</v>
      </c>
      <c r="E12" s="16" t="n">
        <v>172.64</v>
      </c>
      <c r="F12" s="16" t="n">
        <v>185.59</v>
      </c>
    </row>
    <row r="13" customFormat="false" ht="15" hidden="false" customHeight="false" outlineLevel="0" collapsed="false">
      <c r="A13" s="13" t="n">
        <v>45992</v>
      </c>
      <c r="B13" s="16" t="n">
        <v>93.31</v>
      </c>
      <c r="C13" s="16" t="n">
        <v>155.96</v>
      </c>
      <c r="D13" s="16" t="n">
        <v>3145.9</v>
      </c>
      <c r="E13" s="16" t="n">
        <v>172.64</v>
      </c>
      <c r="F13" s="16" t="n">
        <v>185.59</v>
      </c>
    </row>
    <row r="14" customFormat="false" ht="15" hidden="false" customHeight="false" outlineLevel="0" collapsed="false">
      <c r="A14" s="13" t="n">
        <v>46023</v>
      </c>
      <c r="B14" s="16" t="n">
        <v>94.1</v>
      </c>
      <c r="C14" s="16" t="n">
        <v>154.96</v>
      </c>
      <c r="D14" s="16" t="n">
        <v>3146.51</v>
      </c>
      <c r="E14" s="16" t="n">
        <v>171.64</v>
      </c>
      <c r="F14" s="16" t="n">
        <v>183.59</v>
      </c>
    </row>
    <row r="15" customFormat="false" ht="15" hidden="false" customHeight="false" outlineLevel="0" collapsed="false">
      <c r="A15" s="13" t="n">
        <v>46054</v>
      </c>
      <c r="B15" s="16" t="n">
        <v>94.03</v>
      </c>
      <c r="C15" s="16" t="n">
        <v>153.96</v>
      </c>
      <c r="D15" s="16" t="n">
        <v>3134.75</v>
      </c>
      <c r="E15" s="16" t="n">
        <v>167.72</v>
      </c>
      <c r="F15" s="16" t="n">
        <v>179.35</v>
      </c>
    </row>
    <row r="16" customFormat="false" ht="15" hidden="false" customHeight="false" outlineLevel="0" collapsed="false">
      <c r="A16" s="13" t="n">
        <v>46082</v>
      </c>
      <c r="B16" s="16" t="n">
        <v>95.45</v>
      </c>
      <c r="C16" s="16" t="n">
        <v>153.96</v>
      </c>
      <c r="D16" s="16" t="n">
        <v>3132.34</v>
      </c>
      <c r="E16" s="16" t="n">
        <v>167.72</v>
      </c>
      <c r="F16" s="16" t="n">
        <v>179.35</v>
      </c>
    </row>
    <row r="18" customFormat="false" ht="15" hidden="false" customHeight="false" outlineLevel="0" collapsed="false">
      <c r="A18" s="15" t="s">
        <v>77</v>
      </c>
      <c r="B18" s="7" t="n">
        <f aca="false">B16/B2-1</f>
        <v>0.107051728137323</v>
      </c>
      <c r="C18" s="7" t="n">
        <f aca="false">C16/C2-1</f>
        <v>0.0116966749901433</v>
      </c>
      <c r="D18" s="7" t="n">
        <f aca="false">D16/D2-1</f>
        <v>0.00326056319983614</v>
      </c>
      <c r="E18" s="7" t="n">
        <f aca="false">E16/E2-1</f>
        <v>-0.000714966634890346</v>
      </c>
      <c r="F18" s="7" t="n">
        <f aca="false">F16/F2-1</f>
        <v>0.0118476727785612</v>
      </c>
    </row>
    <row r="19" customFormat="false" ht="15" hidden="false" customHeight="false" outlineLevel="0" collapsed="false">
      <c r="A19" s="15" t="s">
        <v>78</v>
      </c>
      <c r="B19" s="7" t="n">
        <f aca="false">STDEV(B2:B16)/AVERAGE(B2:B16)</f>
        <v>0.0358525169516349</v>
      </c>
      <c r="C19" s="7" t="n">
        <f aca="false">STDEV(C2:C16)/AVERAGE(C2:C16)</f>
        <v>0.0189760845508069</v>
      </c>
      <c r="D19" s="7" t="n">
        <f aca="false">STDEV(D2:D16)/AVERAGE(D2:D16)</f>
        <v>0.00316210230591674</v>
      </c>
      <c r="E19" s="7" t="n">
        <f aca="false">STDEV(E2:E16)/AVERAGE(E2:E16)</f>
        <v>0.0187271536570981</v>
      </c>
      <c r="F19" s="7" t="n">
        <f aca="false">STDEV(F2:F16)/AVERAGE(F2:F16)</f>
        <v>0.0246666347082441</v>
      </c>
    </row>
    <row r="21" customFormat="false" ht="15" hidden="false" customHeight="false" outlineLevel="0" collapsed="false">
      <c r="A21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8" t="s">
        <v>80</v>
      </c>
    </row>
    <row r="2" customFormat="false" ht="15" hidden="false" customHeight="false" outlineLevel="0" collapsed="false">
      <c r="A2" s="0" t="str">
        <f aca="false">Assumptions!D3</f>
        <v>Baseline</v>
      </c>
    </row>
    <row r="4" customFormat="false" ht="28.35" hidden="false" customHeight="false" outlineLevel="0" collapsed="false">
      <c r="A4" s="10" t="s">
        <v>65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66</v>
      </c>
      <c r="H4" s="10" t="s">
        <v>67</v>
      </c>
      <c r="I4" s="10" t="s">
        <v>68</v>
      </c>
      <c r="J4" s="10" t="s">
        <v>81</v>
      </c>
    </row>
    <row r="5" customFormat="false" ht="15" hidden="false" customHeight="false" outlineLevel="0" collapsed="false">
      <c r="A5" s="0" t="n">
        <v>2025</v>
      </c>
      <c r="B5" s="4" t="n">
        <f aca="false">Demand_Data!C33</f>
        <v>2419.12</v>
      </c>
      <c r="C5" s="4" t="n">
        <f aca="false">Demand_Data!D33</f>
        <v>1657.48</v>
      </c>
      <c r="D5" s="4" t="n">
        <f aca="false">Demand_Data!E33</f>
        <v>475.95</v>
      </c>
      <c r="E5" s="4" t="n">
        <f aca="false">Demand_Data!F33</f>
        <v>701.34</v>
      </c>
      <c r="F5" s="4" t="n">
        <f aca="false">Demand_Data!H33</f>
        <v>44.12</v>
      </c>
      <c r="G5" s="4" t="n">
        <f aca="false">Demand_Data!G33</f>
        <v>413.26</v>
      </c>
      <c r="H5" s="14" t="n">
        <f aca="false">Demand_Data!I33</f>
        <v>1.21</v>
      </c>
      <c r="I5" s="4" t="n">
        <f aca="false">SUM(B5:H5)</f>
        <v>5712.48</v>
      </c>
    </row>
    <row r="6" customFormat="false" ht="15" hidden="false" customHeight="false" outlineLevel="0" collapsed="false">
      <c r="A6" s="0" t="n">
        <v>2026</v>
      </c>
      <c r="B6" s="4" t="n">
        <f aca="false">B5*EXP(LN(1+Assumptions!$F$6*IF($A6&lt;=2029,1,Assumptions!$C$26)/100)+IF($A6=2026,Assumptions!$C$20*LN(1+Assumptions!$F$13/100),IF(OR($A6=2027,$A6=2028),(Assumptions!$D$20-Assumptions!$C$20)*LN(1+Assumptions!$F$13/100)/2,0)))</f>
        <v>2421.21382362772</v>
      </c>
      <c r="C6" s="4" t="n">
        <f aca="false">C5*EXP(LN(1+Assumptions!$F$7*IF($A6&lt;=2029,1,Assumptions!$C$26)/100)+IF($A6=2026,Assumptions!$C$21*LN(1+Assumptions!$F$14/100),IF(OR($A6=2027,$A6=2028),(Assumptions!$D$21-Assumptions!$C$21)*LN(1+Assumptions!$F$14/100)/2,0)))</f>
        <v>1690.17543343169</v>
      </c>
      <c r="D6" s="4" t="n">
        <f aca="false">D5*EXP(LN(1+Assumptions!$F$8*IF($A6&lt;=2029,1,Assumptions!$C$26)/100)+IF($A6=2026,Assumptions!$C$22*LN(1+Assumptions!$F$15/100),IF(OR($A6=2027,$A6=2028),(Assumptions!$D$22-Assumptions!$C$22)*LN(1+Assumptions!$F$15/100)/2,0)))</f>
        <v>503.257459616026</v>
      </c>
      <c r="E6" s="4" t="n">
        <f aca="false">E5*EXP(LN(1+Assumptions!$F$9*IF($A6&lt;=2029,1,Assumptions!$C$26)/100)+IF($A6=2026,Assumptions!$C$23*LN(1+Assumptions!$F$16/100),IF(OR($A6=2027,$A6=2028),(Assumptions!$D$23-Assumptions!$C$23)*LN(1+Assumptions!$F$16/100)/2,0)))</f>
        <v>714.455058</v>
      </c>
      <c r="F6" s="4" t="n">
        <f aca="false">F5*EXP(LN(1+Assumptions!$F$10*IF($A6&lt;=2029,1,Assumptions!$C$26)/100)+IF($A6=2026,Assumptions!$C$24*LN(1+Assumptions!$F$17/100),IF(OR($A6=2027,$A6=2028),(Assumptions!$D$24-Assumptions!$C$24)*LN(1+Assumptions!$F$17/100)/2,0)))</f>
        <v>40.5960873578555</v>
      </c>
      <c r="G6" s="4" t="n">
        <f aca="false">G5*(1+IF($A6&lt;=2027,Assumptions!$C$28,Assumptions!$C$29)/100)</f>
        <v>432.600568</v>
      </c>
      <c r="H6" s="14" t="n">
        <f aca="false">H5</f>
        <v>1.21</v>
      </c>
      <c r="I6" s="4" t="n">
        <f aca="false">SUM(B6:H6)</f>
        <v>5803.50843003328</v>
      </c>
      <c r="J6" s="7" t="n">
        <f aca="false">I6/I5-1</f>
        <v>0.015935010719212</v>
      </c>
    </row>
    <row r="7" customFormat="false" ht="15" hidden="false" customHeight="false" outlineLevel="0" collapsed="false">
      <c r="A7" s="0" t="n">
        <v>2027</v>
      </c>
      <c r="B7" s="4" t="n">
        <f aca="false">B6*EXP(LN(1+Assumptions!$F$6*IF($A7&lt;=2029,1,Assumptions!$C$26)/100)+IF($A7=2026,Assumptions!$C$20*LN(1+Assumptions!$F$13/100),IF(OR($A7=2027,$A7=2028),(Assumptions!$D$20-Assumptions!$C$20)*LN(1+Assumptions!$F$13/100)/2,0)))</f>
        <v>2419.99806241304</v>
      </c>
      <c r="C7" s="4" t="n">
        <f aca="false">C6*EXP(LN(1+Assumptions!$F$7*IF($A7&lt;=2029,1,Assumptions!$C$26)/100)+IF($A7=2026,Assumptions!$C$21*LN(1+Assumptions!$F$14/100),IF(OR($A7=2027,$A7=2028),(Assumptions!$D$21-Assumptions!$C$21)*LN(1+Assumptions!$F$14/100)/2,0)))</f>
        <v>1727.01214600489</v>
      </c>
      <c r="D7" s="4" t="n">
        <f aca="false">D6*EXP(LN(1+Assumptions!$F$8*IF($A7&lt;=2029,1,Assumptions!$C$26)/100)+IF($A7=2026,Assumptions!$C$22*LN(1+Assumptions!$F$15/100),IF(OR($A7=2027,$A7=2028),(Assumptions!$D$22-Assumptions!$C$22)*LN(1+Assumptions!$F$15/100)/2,0)))</f>
        <v>535.949120097943</v>
      </c>
      <c r="E7" s="4" t="n">
        <f aca="false">E6*EXP(LN(1+Assumptions!$F$9*IF($A7&lt;=2029,1,Assumptions!$C$26)/100)+IF($A7=2026,Assumptions!$C$23*LN(1+Assumptions!$F$16/100),IF(OR($A7=2027,$A7=2028),(Assumptions!$D$23-Assumptions!$C$23)*LN(1+Assumptions!$F$16/100)/2,0)))</f>
        <v>727.8153675846</v>
      </c>
      <c r="F7" s="4" t="n">
        <f aca="false">F6*EXP(LN(1+Assumptions!$F$10*IF($A7&lt;=2029,1,Assumptions!$C$26)/100)+IF($A7=2026,Assumptions!$C$24*LN(1+Assumptions!$F$17/100),IF(OR($A7=2027,$A7=2028),(Assumptions!$D$24-Assumptions!$C$24)*LN(1+Assumptions!$F$17/100)/2,0)))</f>
        <v>37.6957089261989</v>
      </c>
      <c r="G7" s="4" t="n">
        <f aca="false">G6*(1+IF($A7&lt;=2027,Assumptions!$C$28,Assumptions!$C$29)/100)</f>
        <v>452.8462745824</v>
      </c>
      <c r="H7" s="14" t="n">
        <f aca="false">H6</f>
        <v>1.21</v>
      </c>
      <c r="I7" s="4" t="n">
        <f aca="false">SUM(B7:H7)</f>
        <v>5902.52667960907</v>
      </c>
      <c r="J7" s="7" t="n">
        <f aca="false">I7/I6-1</f>
        <v>0.0170617912887601</v>
      </c>
    </row>
    <row r="8" customFormat="false" ht="15" hidden="false" customHeight="false" outlineLevel="0" collapsed="false">
      <c r="A8" s="0" t="n">
        <v>2028</v>
      </c>
      <c r="B8" s="4" t="n">
        <f aca="false">B7*EXP(LN(1+Assumptions!$F$6*IF($A8&lt;=2029,1,Assumptions!$C$26)/100)+IF($A8=2026,Assumptions!$C$20*LN(1+Assumptions!$F$13/100),IF(OR($A8=2027,$A8=2028),(Assumptions!$D$20-Assumptions!$C$20)*LN(1+Assumptions!$F$13/100)/2,0)))</f>
        <v>2418.78291166709</v>
      </c>
      <c r="C8" s="4" t="n">
        <f aca="false">C7*EXP(LN(1+Assumptions!$F$7*IF($A8&lt;=2029,1,Assumptions!$C$26)/100)+IF($A8=2026,Assumptions!$C$21*LN(1+Assumptions!$F$14/100),IF(OR($A8=2027,$A8=2028),(Assumptions!$D$21-Assumptions!$C$21)*LN(1+Assumptions!$F$14/100)/2,0)))</f>
        <v>1764.65170032243</v>
      </c>
      <c r="D8" s="4" t="n">
        <f aca="false">D7*EXP(LN(1+Assumptions!$F$8*IF($A8&lt;=2029,1,Assumptions!$C$26)/100)+IF($A8=2026,Assumptions!$C$22*LN(1+Assumptions!$F$15/100),IF(OR($A8=2027,$A8=2028),(Assumptions!$D$22-Assumptions!$C$22)*LN(1+Assumptions!$F$15/100)/2,0)))</f>
        <v>570.764434476378</v>
      </c>
      <c r="E8" s="4" t="n">
        <f aca="false">E7*EXP(LN(1+Assumptions!$F$9*IF($A8&lt;=2029,1,Assumptions!$C$26)/100)+IF($A8=2026,Assumptions!$C$23*LN(1+Assumptions!$F$16/100),IF(OR($A8=2027,$A8=2028),(Assumptions!$D$23-Assumptions!$C$23)*LN(1+Assumptions!$F$16/100)/2,0)))</f>
        <v>741.425514958432</v>
      </c>
      <c r="F8" s="4" t="n">
        <f aca="false">F7*EXP(LN(1+Assumptions!$F$10*IF($A8&lt;=2029,1,Assumptions!$C$26)/100)+IF($A8=2026,Assumptions!$C$24*LN(1+Assumptions!$F$17/100),IF(OR($A8=2027,$A8=2028),(Assumptions!$D$24-Assumptions!$C$24)*LN(1+Assumptions!$F$17/100)/2,0)))</f>
        <v>35.0025473864724</v>
      </c>
      <c r="G8" s="4" t="n">
        <f aca="false">G7*(1+IF($A8&lt;=2027,Assumptions!$C$28,Assumptions!$C$29)/100)</f>
        <v>438.400478423221</v>
      </c>
      <c r="H8" s="14" t="n">
        <f aca="false">H7</f>
        <v>1.21</v>
      </c>
      <c r="I8" s="4" t="n">
        <f aca="false">SUM(B8:H8)</f>
        <v>5970.23758723402</v>
      </c>
      <c r="J8" s="7" t="n">
        <f aca="false">I8/I7-1</f>
        <v>0.0114715123370579</v>
      </c>
    </row>
    <row r="9" customFormat="false" ht="15" hidden="false" customHeight="false" outlineLevel="0" collapsed="false">
      <c r="A9" s="0" t="n">
        <v>2029</v>
      </c>
      <c r="B9" s="4" t="n">
        <f aca="false">B8*EXP(LN(1+Assumptions!$F$6*IF($A9&lt;=2029,1,Assumptions!$C$26)/100)+IF($A9=2026,Assumptions!$C$20*LN(1+Assumptions!$F$13/100),IF(OR($A9=2027,$A9=2028),(Assumptions!$D$20-Assumptions!$C$20)*LN(1+Assumptions!$F$13/100)/2,0)))</f>
        <v>2503.92407015777</v>
      </c>
      <c r="C9" s="4" t="n">
        <f aca="false">C8*EXP(LN(1+Assumptions!$F$7*IF($A9&lt;=2029,1,Assumptions!$C$26)/100)+IF($A9=2026,Assumptions!$C$21*LN(1+Assumptions!$F$14/100),IF(OR($A9=2027,$A9=2028),(Assumptions!$D$21-Assumptions!$C$21)*LN(1+Assumptions!$F$14/100)/2,0)))</f>
        <v>1823.76753228323</v>
      </c>
      <c r="D9" s="4" t="n">
        <f aca="false">D8*EXP(LN(1+Assumptions!$F$8*IF($A9&lt;=2029,1,Assumptions!$C$26)/100)+IF($A9=2026,Assumptions!$C$22*LN(1+Assumptions!$F$15/100),IF(OR($A9=2027,$A9=2028),(Assumptions!$D$22-Assumptions!$C$22)*LN(1+Assumptions!$F$15/100)/2,0)))</f>
        <v>612.201932419363</v>
      </c>
      <c r="E9" s="4" t="n">
        <f aca="false">E8*EXP(LN(1+Assumptions!$F$9*IF($A9&lt;=2029,1,Assumptions!$C$26)/100)+IF($A9=2026,Assumptions!$C$23*LN(1+Assumptions!$F$16/100),IF(OR($A9=2027,$A9=2028),(Assumptions!$D$23-Assumptions!$C$23)*LN(1+Assumptions!$F$16/100)/2,0)))</f>
        <v>755.290172088155</v>
      </c>
      <c r="F9" s="4" t="n">
        <f aca="false">F8*EXP(LN(1+Assumptions!$F$10*IF($A9&lt;=2029,1,Assumptions!$C$26)/100)+IF($A9=2026,Assumptions!$C$24*LN(1+Assumptions!$F$17/100),IF(OR($A9=2027,$A9=2028),(Assumptions!$D$24-Assumptions!$C$24)*LN(1+Assumptions!$F$17/100)/2,0)))</f>
        <v>33.4029309709106</v>
      </c>
      <c r="G9" s="4" t="n">
        <f aca="false">G8*(1+IF($A9&lt;=2027,Assumptions!$C$28,Assumptions!$C$29)/100)</f>
        <v>424.415503161521</v>
      </c>
      <c r="H9" s="14" t="n">
        <f aca="false">H8</f>
        <v>1.21</v>
      </c>
      <c r="I9" s="4" t="n">
        <f aca="false">SUM(B9:H9)</f>
        <v>6154.21214108095</v>
      </c>
      <c r="J9" s="7" t="n">
        <f aca="false">I9/I8-1</f>
        <v>0.0308152818307124</v>
      </c>
    </row>
    <row r="10" customFormat="false" ht="15" hidden="false" customHeight="false" outlineLevel="0" collapsed="false">
      <c r="A10" s="0" t="n">
        <v>2030</v>
      </c>
      <c r="B10" s="4" t="n">
        <f aca="false">B9*EXP(LN(1+Assumptions!$F$6*IF($A10&lt;=2029,1,Assumptions!$C$26)/100)+IF($A10=2026,Assumptions!$C$20*LN(1+Assumptions!$F$13/100),IF(OR($A10=2027,$A10=2028),(Assumptions!$D$20-Assumptions!$C$20)*LN(1+Assumptions!$F$13/100)/2,0)))</f>
        <v>2574.43457197341</v>
      </c>
      <c r="C10" s="4" t="n">
        <f aca="false">C9*EXP(LN(1+Assumptions!$F$7*IF($A10&lt;=2029,1,Assumptions!$C$26)/100)+IF($A10=2026,Assumptions!$C$21*LN(1+Assumptions!$F$14/100),IF(OR($A10=2027,$A10=2028),(Assumptions!$D$21-Assumptions!$C$21)*LN(1+Assumptions!$F$14/100)/2,0)))</f>
        <v>1872.64450214842</v>
      </c>
      <c r="D10" s="4" t="n">
        <f aca="false">D9*EXP(LN(1+Assumptions!$F$8*IF($A10&lt;=2029,1,Assumptions!$C$26)/100)+IF($A10=2026,Assumptions!$C$22*LN(1+Assumptions!$F$15/100),IF(OR($A10=2027,$A10=2028),(Assumptions!$D$22-Assumptions!$C$22)*LN(1+Assumptions!$F$15/100)/2,0)))</f>
        <v>647.75862065428</v>
      </c>
      <c r="E10" s="4" t="n">
        <f aca="false">E9*EXP(LN(1+Assumptions!$F$9*IF($A10&lt;=2029,1,Assumptions!$C$26)/100)+IF($A10=2026,Assumptions!$C$23*LN(1+Assumptions!$F$16/100),IF(OR($A10=2027,$A10=2028),(Assumptions!$D$23-Assumptions!$C$23)*LN(1+Assumptions!$F$16/100)/2,0)))</f>
        <v>766.589313062593</v>
      </c>
      <c r="F10" s="4" t="n">
        <f aca="false">F9*EXP(LN(1+Assumptions!$F$10*IF($A10&lt;=2029,1,Assumptions!$C$26)/100)+IF($A10=2026,Assumptions!$C$24*LN(1+Assumptions!$F$17/100),IF(OR($A10=2027,$A10=2028),(Assumptions!$D$24-Assumptions!$C$24)*LN(1+Assumptions!$F$17/100)/2,0)))</f>
        <v>32.1817198146141</v>
      </c>
      <c r="G10" s="4" t="n">
        <f aca="false">G9*(1+IF($A10&lt;=2027,Assumptions!$C$28,Assumptions!$C$29)/100)</f>
        <v>410.876648610668</v>
      </c>
      <c r="H10" s="14" t="n">
        <f aca="false">H9</f>
        <v>1.21</v>
      </c>
      <c r="I10" s="4" t="n">
        <f aca="false">SUM(B10:H10)</f>
        <v>6305.69537626399</v>
      </c>
      <c r="J10" s="7" t="n">
        <f aca="false">I10/I9-1</f>
        <v>0.0246145618172389</v>
      </c>
    </row>
    <row r="11" customFormat="false" ht="15" hidden="false" customHeight="false" outlineLevel="0" collapsed="false">
      <c r="A11" s="0" t="n">
        <v>2031</v>
      </c>
      <c r="B11" s="4" t="n">
        <f aca="false">B10*EXP(LN(1+Assumptions!$F$6*IF($A11&lt;=2029,1,Assumptions!$C$26)/100)+IF($A11=2026,Assumptions!$C$20*LN(1+Assumptions!$F$13/100),IF(OR($A11=2027,$A11=2028),(Assumptions!$D$20-Assumptions!$C$20)*LN(1+Assumptions!$F$13/100)/2,0)))</f>
        <v>2646.93064952018</v>
      </c>
      <c r="C11" s="4" t="n">
        <f aca="false">C10*EXP(LN(1+Assumptions!$F$7*IF($A11&lt;=2029,1,Assumptions!$C$26)/100)+IF($A11=2026,Assumptions!$C$21*LN(1+Assumptions!$F$14/100),IF(OR($A11=2027,$A11=2028),(Assumptions!$D$21-Assumptions!$C$21)*LN(1+Assumptions!$F$14/100)/2,0)))</f>
        <v>1922.831374806</v>
      </c>
      <c r="D11" s="4" t="n">
        <f aca="false">D10*EXP(LN(1+Assumptions!$F$8*IF($A11&lt;=2029,1,Assumptions!$C$26)/100)+IF($A11=2026,Assumptions!$C$22*LN(1+Assumptions!$F$15/100),IF(OR($A11=2027,$A11=2028),(Assumptions!$D$22-Assumptions!$C$22)*LN(1+Assumptions!$F$15/100)/2,0)))</f>
        <v>685.38044134188</v>
      </c>
      <c r="E11" s="4" t="n">
        <f aca="false">E10*EXP(LN(1+Assumptions!$F$9*IF($A11&lt;=2029,1,Assumptions!$C$26)/100)+IF($A11=2026,Assumptions!$C$23*LN(1+Assumptions!$F$16/100),IF(OR($A11=2027,$A11=2028),(Assumptions!$D$23-Assumptions!$C$23)*LN(1+Assumptions!$F$16/100)/2,0)))</f>
        <v>778.05748918601</v>
      </c>
      <c r="F11" s="4" t="n">
        <f aca="false">F10*EXP(LN(1+Assumptions!$F$10*IF($A11&lt;=2029,1,Assumptions!$C$26)/100)+IF($A11=2026,Assumptions!$C$24*LN(1+Assumptions!$F$17/100),IF(OR($A11=2027,$A11=2028),(Assumptions!$D$24-Assumptions!$C$24)*LN(1+Assumptions!$F$17/100)/2,0)))</f>
        <v>31.0051561381918</v>
      </c>
      <c r="G11" s="4" t="n">
        <f aca="false">G10*(1+IF($A11&lt;=2027,Assumptions!$C$28,Assumptions!$C$29)/100)</f>
        <v>397.769683519988</v>
      </c>
      <c r="H11" s="14" t="n">
        <f aca="false">H10</f>
        <v>1.21</v>
      </c>
      <c r="I11" s="4" t="n">
        <f aca="false">SUM(B11:H11)</f>
        <v>6463.18479451225</v>
      </c>
      <c r="J11" s="7" t="n">
        <f aca="false">I11/I10-1</f>
        <v>0.0249757415876903</v>
      </c>
    </row>
    <row r="12" customFormat="false" ht="15" hidden="false" customHeight="false" outlineLevel="0" collapsed="false">
      <c r="A12" s="0" t="n">
        <v>2032</v>
      </c>
      <c r="B12" s="4" t="n">
        <f aca="false">B11*EXP(LN(1+Assumptions!$F$6*IF($A12&lt;=2029,1,Assumptions!$C$26)/100)+IF($A12=2026,Assumptions!$C$20*LN(1+Assumptions!$F$13/100),IF(OR($A12=2027,$A12=2028),(Assumptions!$D$20-Assumptions!$C$20)*LN(1+Assumptions!$F$13/100)/2,0)))</f>
        <v>2721.46821661067</v>
      </c>
      <c r="C12" s="4" t="n">
        <f aca="false">C11*EXP(LN(1+Assumptions!$F$7*IF($A12&lt;=2029,1,Assumptions!$C$26)/100)+IF($A12=2026,Assumptions!$C$21*LN(1+Assumptions!$F$14/100),IF(OR($A12=2027,$A12=2028),(Assumptions!$D$21-Assumptions!$C$21)*LN(1+Assumptions!$F$14/100)/2,0)))</f>
        <v>1974.3632556508</v>
      </c>
      <c r="D12" s="4" t="n">
        <f aca="false">D11*EXP(LN(1+Assumptions!$F$8*IF($A12&lt;=2029,1,Assumptions!$C$26)/100)+IF($A12=2026,Assumptions!$C$22*LN(1+Assumptions!$F$15/100),IF(OR($A12=2027,$A12=2028),(Assumptions!$D$22-Assumptions!$C$22)*LN(1+Assumptions!$F$15/100)/2,0)))</f>
        <v>725.187337375017</v>
      </c>
      <c r="E12" s="4" t="n">
        <f aca="false">E11*EXP(LN(1+Assumptions!$F$9*IF($A12&lt;=2029,1,Assumptions!$C$26)/100)+IF($A12=2026,Assumptions!$C$23*LN(1+Assumptions!$F$16/100),IF(OR($A12=2027,$A12=2028),(Assumptions!$D$23-Assumptions!$C$23)*LN(1+Assumptions!$F$16/100)/2,0)))</f>
        <v>789.697229224233</v>
      </c>
      <c r="F12" s="4" t="n">
        <f aca="false">F11*EXP(LN(1+Assumptions!$F$10*IF($A12&lt;=2029,1,Assumptions!$C$26)/100)+IF($A12=2026,Assumptions!$C$24*LN(1+Assumptions!$F$17/100),IF(OR($A12=2027,$A12=2028),(Assumptions!$D$24-Assumptions!$C$24)*LN(1+Assumptions!$F$17/100)/2,0)))</f>
        <v>29.8716076297795</v>
      </c>
      <c r="G12" s="4" t="n">
        <f aca="false">G11*(1+IF($A12&lt;=2027,Assumptions!$C$28,Assumptions!$C$29)/100)</f>
        <v>385.0808306157</v>
      </c>
      <c r="H12" s="14" t="n">
        <f aca="false">H11</f>
        <v>1.21</v>
      </c>
      <c r="I12" s="4" t="n">
        <f aca="false">SUM(B12:H12)</f>
        <v>6626.8784771062</v>
      </c>
      <c r="J12" s="7" t="n">
        <f aca="false">I12/I11-1</f>
        <v>0.0253270930351452</v>
      </c>
    </row>
    <row r="13" customFormat="false" ht="15" hidden="false" customHeight="false" outlineLevel="0" collapsed="false">
      <c r="A13" s="0" t="n">
        <v>2033</v>
      </c>
      <c r="B13" s="4" t="n">
        <f aca="false">B12*EXP(LN(1+Assumptions!$F$6*IF($A13&lt;=2029,1,Assumptions!$C$26)/100)+IF($A13=2026,Assumptions!$C$20*LN(1+Assumptions!$F$13/100),IF(OR($A13=2027,$A13=2028),(Assumptions!$D$20-Assumptions!$C$20)*LN(1+Assumptions!$F$13/100)/2,0)))</f>
        <v>2798.10476159042</v>
      </c>
      <c r="C13" s="4" t="n">
        <f aca="false">C12*EXP(LN(1+Assumptions!$F$7*IF($A13&lt;=2029,1,Assumptions!$C$26)/100)+IF($A13=2026,Assumptions!$C$21*LN(1+Assumptions!$F$14/100),IF(OR($A13=2027,$A13=2028),(Assumptions!$D$21-Assumptions!$C$21)*LN(1+Assumptions!$F$14/100)/2,0)))</f>
        <v>2027.27619090224</v>
      </c>
      <c r="D13" s="4" t="n">
        <f aca="false">D12*EXP(LN(1+Assumptions!$F$8*IF($A13&lt;=2029,1,Assumptions!$C$26)/100)+IF($A13=2026,Assumptions!$C$22*LN(1+Assumptions!$F$15/100),IF(OR($A13=2027,$A13=2028),(Assumptions!$D$22-Assumptions!$C$22)*LN(1+Assumptions!$F$15/100)/2,0)))</f>
        <v>767.306217929757</v>
      </c>
      <c r="E13" s="4" t="n">
        <f aca="false">E12*EXP(LN(1+Assumptions!$F$9*IF($A13&lt;=2029,1,Assumptions!$C$26)/100)+IF($A13=2026,Assumptions!$C$23*LN(1+Assumptions!$F$16/100),IF(OR($A13=2027,$A13=2028),(Assumptions!$D$23-Assumptions!$C$23)*LN(1+Assumptions!$F$16/100)/2,0)))</f>
        <v>801.511099773427</v>
      </c>
      <c r="F13" s="4" t="n">
        <f aca="false">F12*EXP(LN(1+Assumptions!$F$10*IF($A13&lt;=2029,1,Assumptions!$C$26)/100)+IF($A13=2026,Assumptions!$C$24*LN(1+Assumptions!$F$17/100),IF(OR($A13=2027,$A13=2028),(Assumptions!$D$24-Assumptions!$C$24)*LN(1+Assumptions!$F$17/100)/2,0)))</f>
        <v>28.7795016548348</v>
      </c>
      <c r="G13" s="4" t="n">
        <f aca="false">G12*(1+IF($A13&lt;=2027,Assumptions!$C$28,Assumptions!$C$29)/100)</f>
        <v>372.796752119059</v>
      </c>
      <c r="H13" s="14" t="n">
        <f aca="false">H12</f>
        <v>1.21</v>
      </c>
      <c r="I13" s="4" t="n">
        <f aca="false">SUM(B13:H13)</f>
        <v>6796.98452396975</v>
      </c>
      <c r="J13" s="7" t="n">
        <f aca="false">I13/I12-1</f>
        <v>0.0256691061185461</v>
      </c>
    </row>
    <row r="14" customFormat="false" ht="15" hidden="false" customHeight="false" outlineLevel="0" collapsed="false">
      <c r="A14" s="0" t="n">
        <v>2034</v>
      </c>
      <c r="B14" s="4" t="n">
        <f aca="false">B13*EXP(LN(1+Assumptions!$F$6*IF($A14&lt;=2029,1,Assumptions!$C$26)/100)+IF($A14=2026,Assumptions!$C$20*LN(1+Assumptions!$F$13/100),IF(OR($A14=2027,$A14=2028),(Assumptions!$D$20-Assumptions!$C$20)*LN(1+Assumptions!$F$13/100)/2,0)))</f>
        <v>2876.89939167681</v>
      </c>
      <c r="C14" s="4" t="n">
        <f aca="false">C13*EXP(LN(1+Assumptions!$F$7*IF($A14&lt;=2029,1,Assumptions!$C$26)/100)+IF($A14=2026,Assumptions!$C$21*LN(1+Assumptions!$F$14/100),IF(OR($A14=2027,$A14=2028),(Assumptions!$D$21-Assumptions!$C$21)*LN(1+Assumptions!$F$14/100)/2,0)))</f>
        <v>2081.60719281842</v>
      </c>
      <c r="D14" s="4" t="n">
        <f aca="false">D13*EXP(LN(1+Assumptions!$F$8*IF($A14&lt;=2029,1,Assumptions!$C$26)/100)+IF($A14=2026,Assumptions!$C$22*LN(1+Assumptions!$F$15/100),IF(OR($A14=2027,$A14=2028),(Assumptions!$D$22-Assumptions!$C$22)*LN(1+Assumptions!$F$15/100)/2,0)))</f>
        <v>811.871363067118</v>
      </c>
      <c r="E14" s="4" t="n">
        <f aca="false">E13*EXP(LN(1+Assumptions!$F$9*IF($A14&lt;=2029,1,Assumptions!$C$26)/100)+IF($A14=2026,Assumptions!$C$23*LN(1+Assumptions!$F$16/100),IF(OR($A14=2027,$A14=2028),(Assumptions!$D$23-Assumptions!$C$23)*LN(1+Assumptions!$F$16/100)/2,0)))</f>
        <v>813.501705826038</v>
      </c>
      <c r="F14" s="4" t="n">
        <f aca="false">F13*EXP(LN(1+Assumptions!$F$10*IF($A14&lt;=2029,1,Assumptions!$C$26)/100)+IF($A14=2026,Assumptions!$C$24*LN(1+Assumptions!$F$17/100),IF(OR($A14=2027,$A14=2028),(Assumptions!$D$24-Assumptions!$C$24)*LN(1+Assumptions!$F$17/100)/2,0)))</f>
        <v>27.727323074334</v>
      </c>
      <c r="G14" s="4" t="n">
        <f aca="false">G13*(1+IF($A14&lt;=2027,Assumptions!$C$28,Assumptions!$C$29)/100)</f>
        <v>360.904535726461</v>
      </c>
      <c r="H14" s="14" t="n">
        <f aca="false">H13</f>
        <v>1.21</v>
      </c>
      <c r="I14" s="4" t="n">
        <f aca="false">SUM(B14:H14)</f>
        <v>6973.72151218918</v>
      </c>
      <c r="J14" s="7" t="n">
        <f aca="false">I14/I13-1</f>
        <v>0.0260022643270954</v>
      </c>
    </row>
    <row r="15" customFormat="false" ht="15" hidden="false" customHeight="false" outlineLevel="0" collapsed="false">
      <c r="A15" s="0" t="n">
        <v>2035</v>
      </c>
      <c r="B15" s="4" t="n">
        <f aca="false">B14*EXP(LN(1+Assumptions!$F$6*IF($A15&lt;=2029,1,Assumptions!$C$26)/100)+IF($A15=2026,Assumptions!$C$20*LN(1+Assumptions!$F$13/100),IF(OR($A15=2027,$A15=2028),(Assumptions!$D$20-Assumptions!$C$20)*LN(1+Assumptions!$F$13/100)/2,0)))</f>
        <v>2957.91287854643</v>
      </c>
      <c r="C15" s="4" t="n">
        <f aca="false">C14*EXP(LN(1+Assumptions!$F$7*IF($A15&lt;=2029,1,Assumptions!$C$26)/100)+IF($A15=2026,Assumptions!$C$21*LN(1+Assumptions!$F$14/100),IF(OR($A15=2027,$A15=2028),(Assumptions!$D$21-Assumptions!$C$21)*LN(1+Assumptions!$F$14/100)/2,0)))</f>
        <v>2137.39426558596</v>
      </c>
      <c r="D15" s="4" t="n">
        <f aca="false">D14*EXP(LN(1+Assumptions!$F$8*IF($A15&lt;=2029,1,Assumptions!$C$26)/100)+IF($A15=2026,Assumptions!$C$22*LN(1+Assumptions!$F$15/100),IF(OR($A15=2027,$A15=2028),(Assumptions!$D$22-Assumptions!$C$22)*LN(1+Assumptions!$F$15/100)/2,0)))</f>
        <v>859.024851834056</v>
      </c>
      <c r="E15" s="4" t="n">
        <f aca="false">E14*EXP(LN(1+Assumptions!$F$9*IF($A15&lt;=2029,1,Assumptions!$C$26)/100)+IF($A15=2026,Assumptions!$C$23*LN(1+Assumptions!$F$16/100),IF(OR($A15=2027,$A15=2028),(Assumptions!$D$23-Assumptions!$C$23)*LN(1+Assumptions!$F$16/100)/2,0)))</f>
        <v>825.671691345195</v>
      </c>
      <c r="F15" s="4" t="n">
        <f aca="false">F14*EXP(LN(1+Assumptions!$F$10*IF($A15&lt;=2029,1,Assumptions!$C$26)/100)+IF($A15=2026,Assumptions!$C$24*LN(1+Assumptions!$F$17/100),IF(OR($A15=2027,$A15=2028),(Assumptions!$D$24-Assumptions!$C$24)*LN(1+Assumptions!$F$17/100)/2,0)))</f>
        <v>26.7136121427364</v>
      </c>
      <c r="G15" s="4" t="n">
        <f aca="false">G14*(1+IF($A15&lt;=2027,Assumptions!$C$28,Assumptions!$C$29)/100)</f>
        <v>349.391681036787</v>
      </c>
      <c r="H15" s="14" t="n">
        <f aca="false">H14</f>
        <v>1.21</v>
      </c>
      <c r="I15" s="4" t="n">
        <f aca="false">SUM(B15:H15)</f>
        <v>7157.31898049116</v>
      </c>
      <c r="J15" s="7" t="n">
        <f aca="false">I15/I14-1</f>
        <v>0.0263270433126805</v>
      </c>
    </row>
    <row r="17" customFormat="false" ht="15" hidden="false" customHeight="false" outlineLevel="0" collapsed="false">
      <c r="A17" s="0" t="s">
        <v>13</v>
      </c>
      <c r="I17" s="5" t="n">
        <f aca="false">(I15/I5)^(1/10)-1</f>
        <v>0.0228043537943821</v>
      </c>
    </row>
    <row r="19" customFormat="false" ht="15" hidden="false" customHeight="false" outlineLevel="0" collapsed="false">
      <c r="A19" s="0" t="s">
        <v>82</v>
      </c>
      <c r="I19" s="4" t="n">
        <f aca="false">I5</f>
        <v>5712.48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6.15" hidden="false" customHeight="false" outlineLevel="0" collapsed="false">
      <c r="A1" s="8" t="s">
        <v>83</v>
      </c>
    </row>
    <row r="3" customFormat="false" ht="41.75" hidden="false" customHeight="false" outlineLevel="0" collapsed="false">
      <c r="A3" s="10" t="s">
        <v>84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0" t="s">
        <v>90</v>
      </c>
    </row>
    <row r="4" customFormat="false" ht="15" hidden="false" customHeight="false" outlineLevel="0" collapsed="false">
      <c r="A4" s="0" t="s">
        <v>33</v>
      </c>
      <c r="B4" s="4" t="n">
        <f aca="false">Scenarios!B5</f>
        <v>2419.12</v>
      </c>
      <c r="C4" s="11" t="n">
        <f aca="false">B4*Assumptions!$C$33/365</f>
        <v>7.88039525194089</v>
      </c>
      <c r="D4" s="9" t="n">
        <v>755.04</v>
      </c>
      <c r="E4" s="17" t="n">
        <f aca="false">D4/C4</f>
        <v>95.8124530383217</v>
      </c>
      <c r="F4" s="17" t="n">
        <f aca="false">C4*Assumptions!$C$30</f>
        <v>236.411857558227</v>
      </c>
      <c r="G4" s="9" t="n">
        <v>19</v>
      </c>
    </row>
    <row r="5" customFormat="false" ht="15" hidden="false" customHeight="false" outlineLevel="0" collapsed="false">
      <c r="A5" s="0" t="s">
        <v>34</v>
      </c>
      <c r="B5" s="4" t="n">
        <f aca="false">Scenarios!C5</f>
        <v>1657.48</v>
      </c>
      <c r="C5" s="11" t="n">
        <f aca="false">B5*Assumptions!$C$34/365</f>
        <v>6.30297244144805</v>
      </c>
      <c r="D5" s="9" t="n">
        <v>462.6</v>
      </c>
      <c r="E5" s="17" t="n">
        <f aca="false">D5/C5</f>
        <v>73.3939429844186</v>
      </c>
      <c r="F5" s="17" t="n">
        <f aca="false">C5*Assumptions!$C$30</f>
        <v>189.089173243442</v>
      </c>
      <c r="G5" s="9" t="n">
        <v>16</v>
      </c>
    </row>
    <row r="6" customFormat="false" ht="15" hidden="false" customHeight="false" outlineLevel="0" collapsed="false">
      <c r="A6" s="0" t="s">
        <v>36</v>
      </c>
      <c r="B6" s="4" t="n">
        <f aca="false">Scenarios!E5</f>
        <v>701.34</v>
      </c>
      <c r="C6" s="11" t="n">
        <f aca="false">B6*Assumptions!$C$35/365</f>
        <v>2.44232068007942</v>
      </c>
      <c r="D6" s="9" t="n">
        <v>231.84</v>
      </c>
      <c r="E6" s="17" t="n">
        <f aca="false">D6/C6</f>
        <v>94.9261093725254</v>
      </c>
      <c r="F6" s="17" t="n">
        <f aca="false">C6*Assumptions!$C$30</f>
        <v>73.2696204023827</v>
      </c>
      <c r="G6" s="9" t="n">
        <v>49</v>
      </c>
    </row>
    <row r="9" customFormat="false" ht="28.35" hidden="false" customHeight="false" outlineLevel="0" collapsed="false">
      <c r="A9" s="10" t="s">
        <v>84</v>
      </c>
      <c r="B9" s="10" t="s">
        <v>91</v>
      </c>
      <c r="C9" s="10" t="s">
        <v>92</v>
      </c>
      <c r="D9" s="10" t="s">
        <v>93</v>
      </c>
      <c r="E9" s="10" t="s">
        <v>94</v>
      </c>
    </row>
    <row r="10" customFormat="false" ht="15" hidden="false" customHeight="false" outlineLevel="0" collapsed="false">
      <c r="A10" s="0" t="s">
        <v>33</v>
      </c>
      <c r="B10" s="0" t="n">
        <f aca="false">G4</f>
        <v>19</v>
      </c>
      <c r="C10" s="0" t="n">
        <f aca="false">MAX(Assumptions!$C$30-B10,0)</f>
        <v>11</v>
      </c>
      <c r="D10" s="18" t="n">
        <f aca="false">C10*C4</f>
        <v>86.6843477713498</v>
      </c>
      <c r="E10" s="0" t="str">
        <f aca="false">IF(B10&gt;=Assumptions!$C$30,"GREEN",IF(B10&gt;=15,"AMBER","RED"))</f>
        <v>AMBER</v>
      </c>
    </row>
    <row r="11" customFormat="false" ht="15" hidden="false" customHeight="false" outlineLevel="0" collapsed="false">
      <c r="A11" s="0" t="s">
        <v>34</v>
      </c>
      <c r="B11" s="0" t="n">
        <f aca="false">G5</f>
        <v>16</v>
      </c>
      <c r="C11" s="0" t="n">
        <f aca="false">MAX(Assumptions!$C$30-B11,0)</f>
        <v>14</v>
      </c>
      <c r="D11" s="18" t="n">
        <f aca="false">C11*C5</f>
        <v>88.2416141802727</v>
      </c>
      <c r="E11" s="0" t="str">
        <f aca="false">IF(B11&gt;=Assumptions!$C$30,"GREEN",IF(B11&gt;=15,"AMBER","RED"))</f>
        <v>AMBER</v>
      </c>
    </row>
    <row r="12" customFormat="false" ht="15" hidden="false" customHeight="false" outlineLevel="0" collapsed="false">
      <c r="A12" s="0" t="s">
        <v>36</v>
      </c>
      <c r="B12" s="0" t="n">
        <f aca="false">G6</f>
        <v>49</v>
      </c>
      <c r="C12" s="0" t="n">
        <f aca="false">MAX(Assumptions!$C$30-B12,0)</f>
        <v>0</v>
      </c>
      <c r="D12" s="18" t="n">
        <f aca="false">C12*C6</f>
        <v>0</v>
      </c>
      <c r="E12" s="0" t="str">
        <f aca="false">IF(B12&gt;=Assumptions!$C$30,"GREEN",IF(B12&gt;=15,"AMBER","RED"))</f>
        <v>GREEN</v>
      </c>
    </row>
    <row r="14" customFormat="false" ht="15" hidden="false" customHeight="false" outlineLevel="0" collapsed="false">
      <c r="A14" s="0" t="s">
        <v>95</v>
      </c>
    </row>
    <row r="16" customFormat="false" ht="15" hidden="false" customHeight="false" outlineLevel="0" collapsed="false">
      <c r="A16" s="15" t="s">
        <v>96</v>
      </c>
    </row>
    <row r="17" customFormat="false" ht="15" hidden="false" customHeight="false" outlineLevel="0" collapsed="false">
      <c r="A17" s="0" t="s">
        <v>97</v>
      </c>
      <c r="B17" s="9" t="n">
        <v>874.26</v>
      </c>
    </row>
    <row r="18" customFormat="false" ht="15" hidden="false" customHeight="false" outlineLevel="0" collapsed="false">
      <c r="A18" s="0" t="s">
        <v>98</v>
      </c>
      <c r="B18" s="9" t="n">
        <v>957.05</v>
      </c>
    </row>
    <row r="19" customFormat="false" ht="15" hidden="false" customHeight="false" outlineLevel="0" collapsed="false">
      <c r="A19" s="0" t="s">
        <v>99</v>
      </c>
      <c r="B19" s="9" t="n">
        <v>90</v>
      </c>
    </row>
    <row r="20" customFormat="false" ht="15" hidden="false" customHeight="false" outlineLevel="0" collapsed="false">
      <c r="A20" s="0" t="s">
        <v>100</v>
      </c>
      <c r="B20" s="4" t="n">
        <f aca="false">B19*(C5*B17+C4*B18)/1000</f>
        <v>1174.71320662774</v>
      </c>
    </row>
    <row r="21" customFormat="false" ht="15" hidden="false" customHeight="false" outlineLevel="0" collapsed="false">
      <c r="A21" s="0" t="s">
        <v>101</v>
      </c>
      <c r="B21" s="14" t="n">
        <f aca="false">B20*Assumptions!$C$27/1000</f>
        <v>151.772946296304</v>
      </c>
    </row>
    <row r="22" customFormat="false" ht="15" hidden="false" customHeight="false" outlineLevel="0" collapsed="false">
      <c r="A22" s="0" t="s">
        <v>102</v>
      </c>
      <c r="B22" s="14" t="n">
        <f aca="false">B20*C22</f>
        <v>117.471320662774</v>
      </c>
      <c r="C22" s="9" t="n">
        <v>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5" t="s">
        <v>103</v>
      </c>
    </row>
    <row r="3" customFormat="false" ht="28.35" hidden="false" customHeight="false" outlineLevel="0" collapsed="false">
      <c r="A3" s="10" t="s">
        <v>65</v>
      </c>
      <c r="B3" s="10" t="s">
        <v>104</v>
      </c>
      <c r="C3" s="10" t="s">
        <v>105</v>
      </c>
      <c r="D3" s="10" t="s">
        <v>106</v>
      </c>
      <c r="E3" s="10" t="s">
        <v>107</v>
      </c>
    </row>
    <row r="4" customFormat="false" ht="15" hidden="false" customHeight="false" outlineLevel="0" collapsed="false">
      <c r="A4" s="0" t="n">
        <v>2025</v>
      </c>
      <c r="B4" s="4" t="n">
        <f aca="false">Scenarios!D5</f>
        <v>475.95</v>
      </c>
      <c r="C4" s="18" t="n">
        <f aca="false">B4*(1+Assumptions!$C$30/365)/12</f>
        <v>42.9224315068493</v>
      </c>
      <c r="D4" s="18" t="n">
        <f aca="false">Assumptions!$C$31+Assumptions!$C$32</f>
        <v>44.43</v>
      </c>
      <c r="E4" s="6" t="n">
        <f aca="false">D4-C4</f>
        <v>1.50756849315069</v>
      </c>
    </row>
    <row r="5" customFormat="false" ht="15" hidden="false" customHeight="false" outlineLevel="0" collapsed="false">
      <c r="A5" s="0" t="n">
        <v>2026</v>
      </c>
      <c r="B5" s="4" t="n">
        <f aca="false">Scenarios!D6</f>
        <v>503.257459616026</v>
      </c>
      <c r="C5" s="18" t="n">
        <f aca="false">B5*(1+Assumptions!$C$30/365)/12</f>
        <v>45.3850905361485</v>
      </c>
      <c r="D5" s="18" t="n">
        <f aca="false">Assumptions!$C$31+Assumptions!$C$32</f>
        <v>44.43</v>
      </c>
      <c r="E5" s="6" t="n">
        <f aca="false">D5-C5</f>
        <v>-0.955090536148454</v>
      </c>
    </row>
    <row r="6" customFormat="false" ht="15" hidden="false" customHeight="false" outlineLevel="0" collapsed="false">
      <c r="A6" s="0" t="n">
        <v>2027</v>
      </c>
      <c r="B6" s="4" t="n">
        <f aca="false">Scenarios!D7</f>
        <v>535.949120097943</v>
      </c>
      <c r="C6" s="18" t="n">
        <f aca="false">B6*(1+Assumptions!$C$30/365)/12</f>
        <v>48.3333110590611</v>
      </c>
      <c r="D6" s="18" t="n">
        <f aca="false">Assumptions!$C$31+Assumptions!$C$32</f>
        <v>44.43</v>
      </c>
      <c r="E6" s="6" t="n">
        <f aca="false">D6-C6</f>
        <v>-3.9033110590611</v>
      </c>
    </row>
    <row r="7" customFormat="false" ht="15" hidden="false" customHeight="false" outlineLevel="0" collapsed="false">
      <c r="A7" s="0" t="n">
        <v>2028</v>
      </c>
      <c r="B7" s="4" t="n">
        <f aca="false">Scenarios!D8</f>
        <v>570.764434476378</v>
      </c>
      <c r="C7" s="18" t="n">
        <f aca="false">B7*(1+Assumptions!$C$30/365)/12</f>
        <v>51.4730483146505</v>
      </c>
      <c r="D7" s="18" t="n">
        <f aca="false">Assumptions!$C$31+Assumptions!$C$32</f>
        <v>44.43</v>
      </c>
      <c r="E7" s="6" t="n">
        <f aca="false">D7-C7</f>
        <v>-7.04304831465053</v>
      </c>
    </row>
    <row r="8" customFormat="false" ht="15" hidden="false" customHeight="false" outlineLevel="0" collapsed="false">
      <c r="A8" s="0" t="n">
        <v>2029</v>
      </c>
      <c r="B8" s="4" t="n">
        <f aca="false">Scenarios!D9</f>
        <v>612.201932419363</v>
      </c>
      <c r="C8" s="18" t="n">
        <f aca="false">B8*(1+Assumptions!$C$30/365)/12</f>
        <v>55.2099916222942</v>
      </c>
      <c r="D8" s="18" t="n">
        <f aca="false">Assumptions!$C$31+Assumptions!$C$32</f>
        <v>44.43</v>
      </c>
      <c r="E8" s="6" t="n">
        <f aca="false">D8-C8</f>
        <v>-10.7799916222942</v>
      </c>
    </row>
    <row r="9" customFormat="false" ht="15" hidden="false" customHeight="false" outlineLevel="0" collapsed="false">
      <c r="A9" s="0" t="n">
        <v>2030</v>
      </c>
      <c r="B9" s="4" t="n">
        <f aca="false">Scenarios!D10</f>
        <v>647.75862065428</v>
      </c>
      <c r="C9" s="18" t="n">
        <f aca="false">B9*(1+Assumptions!$C$30/365)/12</f>
        <v>58.416587935717</v>
      </c>
      <c r="D9" s="18" t="n">
        <f aca="false">Assumptions!$C$31+Assumptions!$C$32</f>
        <v>44.43</v>
      </c>
      <c r="E9" s="6" t="n">
        <f aca="false">D9-C9</f>
        <v>-13.986587935717</v>
      </c>
    </row>
    <row r="10" customFormat="false" ht="15" hidden="false" customHeight="false" outlineLevel="0" collapsed="false">
      <c r="A10" s="0" t="n">
        <v>2031</v>
      </c>
      <c r="B10" s="4" t="n">
        <f aca="false">Scenarios!D11</f>
        <v>685.38044134188</v>
      </c>
      <c r="C10" s="18" t="n">
        <f aca="false">B10*(1+Assumptions!$C$30/365)/12</f>
        <v>61.8094233630234</v>
      </c>
      <c r="D10" s="18" t="n">
        <f aca="false">Assumptions!$C$31+Assumptions!$C$32</f>
        <v>44.43</v>
      </c>
      <c r="E10" s="6" t="n">
        <f aca="false">D10-C10</f>
        <v>-17.3794233630234</v>
      </c>
    </row>
    <row r="11" customFormat="false" ht="15" hidden="false" customHeight="false" outlineLevel="0" collapsed="false">
      <c r="A11" s="0" t="n">
        <v>2032</v>
      </c>
      <c r="B11" s="4" t="n">
        <f aca="false">Scenarios!D12</f>
        <v>725.187337375017</v>
      </c>
      <c r="C11" s="18" t="n">
        <f aca="false">B11*(1+Assumptions!$C$30/365)/12</f>
        <v>65.3993146719478</v>
      </c>
      <c r="D11" s="18" t="n">
        <f aca="false">Assumptions!$C$31+Assumptions!$C$32</f>
        <v>44.43</v>
      </c>
      <c r="E11" s="6" t="n">
        <f aca="false">D11-C11</f>
        <v>-20.9693146719478</v>
      </c>
    </row>
    <row r="12" customFormat="false" ht="15" hidden="false" customHeight="false" outlineLevel="0" collapsed="false">
      <c r="A12" s="0" t="n">
        <v>2033</v>
      </c>
      <c r="B12" s="4" t="n">
        <f aca="false">Scenarios!D13</f>
        <v>767.306217929757</v>
      </c>
      <c r="C12" s="18" t="n">
        <f aca="false">B12*(1+Assumptions!$C$30/365)/12</f>
        <v>69.1977068680946</v>
      </c>
      <c r="D12" s="18" t="n">
        <f aca="false">Assumptions!$C$31+Assumptions!$C$32</f>
        <v>44.43</v>
      </c>
      <c r="E12" s="6" t="n">
        <f aca="false">D12-C12</f>
        <v>-24.7677068680946</v>
      </c>
    </row>
    <row r="13" customFormat="false" ht="15" hidden="false" customHeight="false" outlineLevel="0" collapsed="false">
      <c r="A13" s="0" t="n">
        <v>2034</v>
      </c>
      <c r="B13" s="4" t="n">
        <f aca="false">Scenarios!D14</f>
        <v>811.871363067118</v>
      </c>
      <c r="C13" s="18" t="n">
        <f aca="false">B13*(1+Assumptions!$C$30/365)/12</f>
        <v>73.2167096829935</v>
      </c>
      <c r="D13" s="18" t="n">
        <f aca="false">Assumptions!$C$31+Assumptions!$C$32</f>
        <v>44.43</v>
      </c>
      <c r="E13" s="6" t="n">
        <f aca="false">D13-C13</f>
        <v>-28.7867096829935</v>
      </c>
    </row>
    <row r="14" customFormat="false" ht="15" hidden="false" customHeight="false" outlineLevel="0" collapsed="false">
      <c r="A14" s="0" t="n">
        <v>2035</v>
      </c>
      <c r="B14" s="4" t="n">
        <f aca="false">Scenarios!D15</f>
        <v>859.024851834056</v>
      </c>
      <c r="C14" s="18" t="n">
        <f aca="false">B14*(1+Assumptions!$C$30/365)/12</f>
        <v>77.4691361813817</v>
      </c>
      <c r="D14" s="18" t="n">
        <f aca="false">Assumptions!$C$31+Assumptions!$C$32</f>
        <v>44.43</v>
      </c>
      <c r="E14" s="6" t="n">
        <f aca="false">D14-C14</f>
        <v>-33.0391361813817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19" min="3" style="0" width="12"/>
  </cols>
  <sheetData>
    <row r="1" customFormat="false" ht="15" hidden="false" customHeight="false" outlineLevel="0" collapsed="false">
      <c r="A1" s="19" t="s">
        <v>108</v>
      </c>
    </row>
    <row r="3" customFormat="false" ht="15" hidden="false" customHeight="false" outlineLevel="0" collapsed="false">
      <c r="A3" s="0" t="s">
        <v>109</v>
      </c>
      <c r="B3" s="9" t="n">
        <v>70</v>
      </c>
    </row>
    <row r="4" customFormat="false" ht="15" hidden="false" customHeight="false" outlineLevel="0" collapsed="false">
      <c r="A4" s="0" t="s">
        <v>110</v>
      </c>
      <c r="B4" s="9" t="n">
        <v>6</v>
      </c>
    </row>
    <row r="5" customFormat="false" ht="15" hidden="false" customHeight="false" outlineLevel="0" collapsed="false">
      <c r="A5" s="0" t="s">
        <v>111</v>
      </c>
      <c r="B5" s="9" t="n">
        <v>60</v>
      </c>
    </row>
    <row r="6" customFormat="false" ht="15" hidden="false" customHeight="false" outlineLevel="0" collapsed="false">
      <c r="A6" s="0" t="s">
        <v>112</v>
      </c>
      <c r="B6" s="9" t="n">
        <v>6000</v>
      </c>
    </row>
    <row r="7" customFormat="false" ht="15" hidden="false" customHeight="false" outlineLevel="0" collapsed="false">
      <c r="A7" s="0" t="s">
        <v>113</v>
      </c>
      <c r="B7" s="9" t="n">
        <v>12</v>
      </c>
    </row>
    <row r="8" customFormat="false" ht="15" hidden="false" customHeight="false" outlineLevel="0" collapsed="false">
      <c r="A8" s="0" t="s">
        <v>114</v>
      </c>
      <c r="B8" s="9" t="n">
        <v>9</v>
      </c>
    </row>
    <row r="9" customFormat="false" ht="15" hidden="false" customHeight="false" outlineLevel="0" collapsed="false">
      <c r="A9" s="0" t="s">
        <v>115</v>
      </c>
      <c r="B9" s="9" t="n">
        <v>0.1</v>
      </c>
    </row>
    <row r="10" customFormat="false" ht="15" hidden="false" customHeight="false" outlineLevel="0" collapsed="false">
      <c r="A10" s="0" t="s">
        <v>116</v>
      </c>
      <c r="B10" s="9" t="n">
        <v>0.1</v>
      </c>
    </row>
    <row r="11" customFormat="false" ht="15" hidden="false" customHeight="false" outlineLevel="0" collapsed="false">
      <c r="A11" s="0" t="s">
        <v>117</v>
      </c>
      <c r="B11" s="9" t="n">
        <v>0.6</v>
      </c>
    </row>
    <row r="12" customFormat="false" ht="15" hidden="false" customHeight="false" outlineLevel="0" collapsed="false">
      <c r="A12" s="0" t="s">
        <v>118</v>
      </c>
      <c r="B12" s="9" t="n">
        <v>0.5</v>
      </c>
    </row>
    <row r="13" customFormat="false" ht="15" hidden="false" customHeight="false" outlineLevel="0" collapsed="false">
      <c r="A13" s="0" t="s">
        <v>119</v>
      </c>
      <c r="B13" s="9" t="n">
        <v>0.1</v>
      </c>
    </row>
    <row r="14" customFormat="false" ht="15" hidden="false" customHeight="false" outlineLevel="0" collapsed="false">
      <c r="A14" s="0" t="s">
        <v>120</v>
      </c>
      <c r="B14" s="9" t="n">
        <v>560</v>
      </c>
    </row>
    <row r="15" customFormat="false" ht="15" hidden="false" customHeight="false" outlineLevel="0" collapsed="false">
      <c r="A15" s="0" t="s">
        <v>121</v>
      </c>
      <c r="B15" s="9" t="n">
        <v>0.03</v>
      </c>
    </row>
    <row r="17" customFormat="false" ht="15" hidden="false" customHeight="false" outlineLevel="0" collapsed="false">
      <c r="A17" s="0" t="s">
        <v>122</v>
      </c>
    </row>
    <row r="19" customFormat="false" ht="28.35" hidden="false" customHeight="false" outlineLevel="0" collapsed="false">
      <c r="A19" s="10" t="s">
        <v>65</v>
      </c>
      <c r="B19" s="10" t="s">
        <v>123</v>
      </c>
      <c r="C19" s="10" t="s">
        <v>124</v>
      </c>
      <c r="D19" s="10" t="s">
        <v>125</v>
      </c>
      <c r="E19" s="10" t="s">
        <v>126</v>
      </c>
      <c r="F19" s="10" t="s">
        <v>127</v>
      </c>
      <c r="G19" s="10" t="s">
        <v>128</v>
      </c>
      <c r="H19" s="10" t="s">
        <v>129</v>
      </c>
      <c r="I19" s="10" t="s">
        <v>130</v>
      </c>
      <c r="J19" s="10" t="s">
        <v>131</v>
      </c>
      <c r="K19" s="10" t="s">
        <v>132</v>
      </c>
      <c r="L19" s="10" t="s">
        <v>133</v>
      </c>
      <c r="M19" s="10" t="s">
        <v>134</v>
      </c>
      <c r="N19" s="10" t="s">
        <v>135</v>
      </c>
      <c r="O19" s="10" t="s">
        <v>136</v>
      </c>
      <c r="P19" s="10" t="s">
        <v>137</v>
      </c>
      <c r="Q19" s="10" t="s">
        <v>138</v>
      </c>
    </row>
    <row r="20" customFormat="false" ht="15" hidden="false" customHeight="false" outlineLevel="0" collapsed="false">
      <c r="A20" s="0" t="n">
        <v>2026</v>
      </c>
      <c r="B20" s="0" t="n">
        <v>0</v>
      </c>
      <c r="C20" s="18" t="n">
        <f aca="false">$B$5*B20</f>
        <v>0</v>
      </c>
      <c r="D20" s="18" t="n">
        <f aca="false">IF(E20&gt;0,C20,0)</f>
        <v>0</v>
      </c>
      <c r="E20" s="18" t="n">
        <f aca="false">IF(AND(A20&gt;2037,C20*365/1000*($B$3-$B$4)&lt;C20*365/1000*($B$7+$B$8)),0,MIN(C20*365/1000,MAX($B$14-0,0)))</f>
        <v>0</v>
      </c>
      <c r="F20" s="18" t="n">
        <f aca="false">0+E20</f>
        <v>0</v>
      </c>
      <c r="G20" s="4" t="n">
        <f aca="false">E20*($B$3-$B$4)</f>
        <v>0</v>
      </c>
      <c r="H20" s="4" t="n">
        <f aca="false">G20*$B$10</f>
        <v>0</v>
      </c>
      <c r="I20" s="4" t="n">
        <f aca="false">E20*($B$7+$B$8)</f>
        <v>0</v>
      </c>
      <c r="J20" s="4" t="n">
        <f aca="false">$B$6*0.15+IF(AND(0&gt;0,E20=0),$B$15*$B$6,0)</f>
        <v>900</v>
      </c>
      <c r="K20" s="4" t="n">
        <f aca="false">G20-I20-J20</f>
        <v>-900</v>
      </c>
      <c r="L20" s="4" t="n">
        <f aca="false">0+I20+J20-M20</f>
        <v>900</v>
      </c>
      <c r="M20" s="4" t="n">
        <f aca="false">MIN(0+I20+J20,$B$11*(G20-H20))</f>
        <v>0</v>
      </c>
      <c r="N20" s="4" t="n">
        <f aca="false">MAX(G20-H20-M20,0)</f>
        <v>0</v>
      </c>
      <c r="O20" s="4" t="n">
        <f aca="false">H20+N20*$B$12</f>
        <v>0</v>
      </c>
      <c r="P20" s="4" t="n">
        <f aca="false">G20-H20-N20*$B$12-I20-J20</f>
        <v>-900</v>
      </c>
      <c r="Q20" s="20" t="n">
        <f aca="false">(1+$B$9)^-(A20-2026)</f>
        <v>1</v>
      </c>
    </row>
    <row r="21" customFormat="false" ht="15" hidden="false" customHeight="false" outlineLevel="0" collapsed="false">
      <c r="A21" s="0" t="n">
        <v>2027</v>
      </c>
      <c r="B21" s="0" t="n">
        <v>0.33</v>
      </c>
      <c r="C21" s="18" t="n">
        <f aca="false">$B$5*B21</f>
        <v>19.8</v>
      </c>
      <c r="D21" s="18" t="n">
        <f aca="false">IF(E21&gt;0,C21,0)</f>
        <v>19.8</v>
      </c>
      <c r="E21" s="18" t="n">
        <f aca="false">IF(AND(A21&gt;2037,C21*365/1000*($B$3-$B$4)&lt;C21*365/1000*($B$7+$B$8)),0,MIN(C21*365/1000,MAX($B$14-F20,0)))</f>
        <v>7.227</v>
      </c>
      <c r="F21" s="18" t="n">
        <f aca="false">F20+E21</f>
        <v>7.227</v>
      </c>
      <c r="G21" s="4" t="n">
        <f aca="false">E21*($B$3-$B$4)</f>
        <v>462.528</v>
      </c>
      <c r="H21" s="4" t="n">
        <f aca="false">G21*$B$10</f>
        <v>46.2528</v>
      </c>
      <c r="I21" s="4" t="n">
        <f aca="false">E21*($B$7+$B$8)</f>
        <v>151.767</v>
      </c>
      <c r="J21" s="4" t="n">
        <f aca="false">$B$6*0.35+IF(AND(E20&gt;0,E21=0),$B$15*$B$6,0)</f>
        <v>2100</v>
      </c>
      <c r="K21" s="4" t="n">
        <f aca="false">G21-I21-J21</f>
        <v>-1789.239</v>
      </c>
      <c r="L21" s="4" t="n">
        <f aca="false">L20+I21+J21-M21</f>
        <v>2902.00188</v>
      </c>
      <c r="M21" s="4" t="n">
        <f aca="false">MIN(L20+I21+J21,$B$11*(G21-H21))</f>
        <v>249.76512</v>
      </c>
      <c r="N21" s="4" t="n">
        <f aca="false">MAX(G21-H21-M21,0)</f>
        <v>166.51008</v>
      </c>
      <c r="O21" s="4" t="n">
        <f aca="false">H21+N21*$B$12</f>
        <v>129.50784</v>
      </c>
      <c r="P21" s="4" t="n">
        <f aca="false">G21-H21-N21*$B$12-I21-J21</f>
        <v>-1918.74684</v>
      </c>
      <c r="Q21" s="20" t="n">
        <f aca="false">(1+$B$9)^-(A21-2026)</f>
        <v>0.909090909090909</v>
      </c>
    </row>
    <row r="22" customFormat="false" ht="15" hidden="false" customHeight="false" outlineLevel="0" collapsed="false">
      <c r="A22" s="0" t="n">
        <v>2028</v>
      </c>
      <c r="B22" s="0" t="n">
        <v>0.66</v>
      </c>
      <c r="C22" s="18" t="n">
        <f aca="false">$B$5*B22</f>
        <v>39.6</v>
      </c>
      <c r="D22" s="18" t="n">
        <f aca="false">IF(E22&gt;0,C22,0)</f>
        <v>39.6</v>
      </c>
      <c r="E22" s="18" t="n">
        <f aca="false">IF(AND(A22&gt;2037,C22*365/1000*($B$3-$B$4)&lt;C22*365/1000*($B$7+$B$8)),0,MIN(C22*365/1000,MAX($B$14-F21,0)))</f>
        <v>14.454</v>
      </c>
      <c r="F22" s="18" t="n">
        <f aca="false">F21+E22</f>
        <v>21.681</v>
      </c>
      <c r="G22" s="4" t="n">
        <f aca="false">E22*($B$3-$B$4)</f>
        <v>925.056</v>
      </c>
      <c r="H22" s="4" t="n">
        <f aca="false">G22*$B$10</f>
        <v>92.5056</v>
      </c>
      <c r="I22" s="4" t="n">
        <f aca="false">E22*($B$7+$B$8)</f>
        <v>303.534</v>
      </c>
      <c r="J22" s="4" t="n">
        <f aca="false">$B$6*0.3+IF(AND(E21&gt;0,E22=0),$B$15*$B$6,0)</f>
        <v>1800</v>
      </c>
      <c r="K22" s="4" t="n">
        <f aca="false">G22-I22-J22</f>
        <v>-1178.478</v>
      </c>
      <c r="L22" s="4" t="n">
        <f aca="false">L21+I22+J22-M22</f>
        <v>4506.00564</v>
      </c>
      <c r="M22" s="4" t="n">
        <f aca="false">MIN(L21+I22+J22,$B$11*(G22-H22))</f>
        <v>499.53024</v>
      </c>
      <c r="N22" s="4" t="n">
        <f aca="false">MAX(G22-H22-M22,0)</f>
        <v>333.02016</v>
      </c>
      <c r="O22" s="4" t="n">
        <f aca="false">H22+N22*$B$12</f>
        <v>259.01568</v>
      </c>
      <c r="P22" s="4" t="n">
        <f aca="false">G22-H22-N22*$B$12-I22-J22</f>
        <v>-1437.49368</v>
      </c>
      <c r="Q22" s="20" t="n">
        <f aca="false">(1+$B$9)^-(A22-2026)</f>
        <v>0.826446280991735</v>
      </c>
    </row>
    <row r="23" customFormat="false" ht="15" hidden="false" customHeight="false" outlineLevel="0" collapsed="false">
      <c r="A23" s="0" t="n">
        <v>2029</v>
      </c>
      <c r="B23" s="0" t="n">
        <v>1</v>
      </c>
      <c r="C23" s="18" t="n">
        <f aca="false">$B$5*B23</f>
        <v>60</v>
      </c>
      <c r="D23" s="18" t="n">
        <f aca="false">IF(E23&gt;0,C23,0)</f>
        <v>60</v>
      </c>
      <c r="E23" s="18" t="n">
        <f aca="false">IF(AND(A23&gt;2037,C23*365/1000*($B$3-$B$4)&lt;C23*365/1000*($B$7+$B$8)),0,MIN(C23*365/1000,MAX($B$14-F22,0)))</f>
        <v>21.9</v>
      </c>
      <c r="F23" s="18" t="n">
        <f aca="false">F22+E23</f>
        <v>43.581</v>
      </c>
      <c r="G23" s="4" t="n">
        <f aca="false">E23*($B$3-$B$4)</f>
        <v>1401.6</v>
      </c>
      <c r="H23" s="4" t="n">
        <f aca="false">G23*$B$10</f>
        <v>140.16</v>
      </c>
      <c r="I23" s="4" t="n">
        <f aca="false">E23*($B$7+$B$8)</f>
        <v>459.9</v>
      </c>
      <c r="J23" s="4" t="n">
        <f aca="false">$B$6*0.2+IF(AND(E22&gt;0,E23=0),$B$15*$B$6,0)</f>
        <v>1200</v>
      </c>
      <c r="K23" s="4" t="n">
        <f aca="false">G23-I23-J23</f>
        <v>-258.3</v>
      </c>
      <c r="L23" s="4" t="n">
        <f aca="false">L22+I23+J23-M23</f>
        <v>5409.04164</v>
      </c>
      <c r="M23" s="4" t="n">
        <f aca="false">MIN(L22+I23+J23,$B$11*(G23-H23))</f>
        <v>756.864</v>
      </c>
      <c r="N23" s="4" t="n">
        <f aca="false">MAX(G23-H23-M23,0)</f>
        <v>504.576</v>
      </c>
      <c r="O23" s="4" t="n">
        <f aca="false">H23+N23*$B$12</f>
        <v>392.448</v>
      </c>
      <c r="P23" s="4" t="n">
        <f aca="false">G23-H23-N23*$B$12-I23-J23</f>
        <v>-650.748</v>
      </c>
      <c r="Q23" s="20" t="n">
        <f aca="false">(1+$B$9)^-(A23-2026)</f>
        <v>0.751314800901578</v>
      </c>
    </row>
    <row r="24" customFormat="false" ht="15" hidden="false" customHeight="false" outlineLevel="0" collapsed="false">
      <c r="A24" s="0" t="n">
        <v>2030</v>
      </c>
      <c r="B24" s="0" t="n">
        <v>1</v>
      </c>
      <c r="C24" s="18" t="n">
        <f aca="false">$B$5*B24</f>
        <v>60</v>
      </c>
      <c r="D24" s="18" t="n">
        <f aca="false">IF(E24&gt;0,C24,0)</f>
        <v>60</v>
      </c>
      <c r="E24" s="18" t="n">
        <f aca="false">IF(AND(A24&gt;2037,C24*365/1000*($B$3-$B$4)&lt;C24*365/1000*($B$7+$B$8)),0,MIN(C24*365/1000,MAX($B$14-F23,0)))</f>
        <v>21.9</v>
      </c>
      <c r="F24" s="18" t="n">
        <f aca="false">F23+E24</f>
        <v>65.481</v>
      </c>
      <c r="G24" s="4" t="n">
        <f aca="false">E24*($B$3-$B$4)</f>
        <v>1401.6</v>
      </c>
      <c r="H24" s="4" t="n">
        <f aca="false">G24*$B$10</f>
        <v>140.16</v>
      </c>
      <c r="I24" s="4" t="n">
        <f aca="false">E24*($B$7+$B$8)</f>
        <v>459.9</v>
      </c>
      <c r="J24" s="4" t="n">
        <f aca="false">$B$6*0+IF(AND(E23&gt;0,E24=0),$B$15*$B$6,0)</f>
        <v>0</v>
      </c>
      <c r="K24" s="4" t="n">
        <f aca="false">G24-I24-J24</f>
        <v>941.7</v>
      </c>
      <c r="L24" s="4" t="n">
        <f aca="false">L23+I24+J24-M24</f>
        <v>5112.07764</v>
      </c>
      <c r="M24" s="4" t="n">
        <f aca="false">MIN(L23+I24+J24,$B$11*(G24-H24))</f>
        <v>756.864</v>
      </c>
      <c r="N24" s="4" t="n">
        <f aca="false">MAX(G24-H24-M24,0)</f>
        <v>504.576</v>
      </c>
      <c r="O24" s="4" t="n">
        <f aca="false">H24+N24*$B$12</f>
        <v>392.448</v>
      </c>
      <c r="P24" s="4" t="n">
        <f aca="false">G24-H24-N24*$B$12-I24-J24</f>
        <v>549.252</v>
      </c>
      <c r="Q24" s="20" t="n">
        <f aca="false">(1+$B$9)^-(A24-2026)</f>
        <v>0.683013455365071</v>
      </c>
    </row>
    <row r="25" customFormat="false" ht="15" hidden="false" customHeight="false" outlineLevel="0" collapsed="false">
      <c r="A25" s="0" t="n">
        <v>2031</v>
      </c>
      <c r="B25" s="0" t="n">
        <v>1</v>
      </c>
      <c r="C25" s="18" t="n">
        <f aca="false">$B$5*B25</f>
        <v>60</v>
      </c>
      <c r="D25" s="18" t="n">
        <f aca="false">IF(E25&gt;0,C25,0)</f>
        <v>60</v>
      </c>
      <c r="E25" s="18" t="n">
        <f aca="false">IF(AND(A25&gt;2037,C25*365/1000*($B$3-$B$4)&lt;C25*365/1000*($B$7+$B$8)),0,MIN(C25*365/1000,MAX($B$14-F24,0)))</f>
        <v>21.9</v>
      </c>
      <c r="F25" s="18" t="n">
        <f aca="false">F24+E25</f>
        <v>87.381</v>
      </c>
      <c r="G25" s="4" t="n">
        <f aca="false">E25*($B$3-$B$4)</f>
        <v>1401.6</v>
      </c>
      <c r="H25" s="4" t="n">
        <f aca="false">G25*$B$10</f>
        <v>140.16</v>
      </c>
      <c r="I25" s="4" t="n">
        <f aca="false">E25*($B$7+$B$8)</f>
        <v>459.9</v>
      </c>
      <c r="J25" s="4" t="n">
        <f aca="false">$B$6*0+IF(AND(E24&gt;0,E25=0),$B$15*$B$6,0)</f>
        <v>0</v>
      </c>
      <c r="K25" s="4" t="n">
        <f aca="false">G25-I25-J25</f>
        <v>941.7</v>
      </c>
      <c r="L25" s="4" t="n">
        <f aca="false">L24+I25+J25-M25</f>
        <v>4815.11364</v>
      </c>
      <c r="M25" s="4" t="n">
        <f aca="false">MIN(L24+I25+J25,$B$11*(G25-H25))</f>
        <v>756.864</v>
      </c>
      <c r="N25" s="4" t="n">
        <f aca="false">MAX(G25-H25-M25,0)</f>
        <v>504.576</v>
      </c>
      <c r="O25" s="4" t="n">
        <f aca="false">H25+N25*$B$12</f>
        <v>392.448</v>
      </c>
      <c r="P25" s="4" t="n">
        <f aca="false">G25-H25-N25*$B$12-I25-J25</f>
        <v>549.252</v>
      </c>
      <c r="Q25" s="20" t="n">
        <f aca="false">(1+$B$9)^-(A25-2026)</f>
        <v>0.620921323059155</v>
      </c>
    </row>
    <row r="26" customFormat="false" ht="15" hidden="false" customHeight="false" outlineLevel="0" collapsed="false">
      <c r="A26" s="0" t="n">
        <v>2032</v>
      </c>
      <c r="B26" s="0" t="n">
        <v>1</v>
      </c>
      <c r="C26" s="18" t="n">
        <f aca="false">$B$5*B26</f>
        <v>60</v>
      </c>
      <c r="D26" s="18" t="n">
        <f aca="false">IF(E26&gt;0,C26,0)</f>
        <v>60</v>
      </c>
      <c r="E26" s="18" t="n">
        <f aca="false">IF(AND(A26&gt;2037,C26*365/1000*($B$3-$B$4)&lt;C26*365/1000*($B$7+$B$8)),0,MIN(C26*365/1000,MAX($B$14-F25,0)))</f>
        <v>21.9</v>
      </c>
      <c r="F26" s="18" t="n">
        <f aca="false">F25+E26</f>
        <v>109.281</v>
      </c>
      <c r="G26" s="4" t="n">
        <f aca="false">E26*($B$3-$B$4)</f>
        <v>1401.6</v>
      </c>
      <c r="H26" s="4" t="n">
        <f aca="false">G26*$B$10</f>
        <v>140.16</v>
      </c>
      <c r="I26" s="4" t="n">
        <f aca="false">E26*($B$7+$B$8)</f>
        <v>459.9</v>
      </c>
      <c r="J26" s="4" t="n">
        <f aca="false">$B$6*0+IF(AND(E25&gt;0,E26=0),$B$15*$B$6,0)</f>
        <v>0</v>
      </c>
      <c r="K26" s="4" t="n">
        <f aca="false">G26-I26-J26</f>
        <v>941.7</v>
      </c>
      <c r="L26" s="4" t="n">
        <f aca="false">L25+I26+J26-M26</f>
        <v>4518.14964</v>
      </c>
      <c r="M26" s="4" t="n">
        <f aca="false">MIN(L25+I26+J26,$B$11*(G26-H26))</f>
        <v>756.864</v>
      </c>
      <c r="N26" s="4" t="n">
        <f aca="false">MAX(G26-H26-M26,0)</f>
        <v>504.576</v>
      </c>
      <c r="O26" s="4" t="n">
        <f aca="false">H26+N26*$B$12</f>
        <v>392.448</v>
      </c>
      <c r="P26" s="4" t="n">
        <f aca="false">G26-H26-N26*$B$12-I26-J26</f>
        <v>549.252</v>
      </c>
      <c r="Q26" s="20" t="n">
        <f aca="false">(1+$B$9)^-(A26-2026)</f>
        <v>0.564473930053777</v>
      </c>
    </row>
    <row r="27" customFormat="false" ht="15" hidden="false" customHeight="false" outlineLevel="0" collapsed="false">
      <c r="A27" s="0" t="n">
        <v>2033</v>
      </c>
      <c r="B27" s="0" t="n">
        <v>1</v>
      </c>
      <c r="C27" s="18" t="n">
        <f aca="false">$B$5*B27</f>
        <v>60</v>
      </c>
      <c r="D27" s="18" t="n">
        <f aca="false">IF(E27&gt;0,C27,0)</f>
        <v>60</v>
      </c>
      <c r="E27" s="18" t="n">
        <f aca="false">IF(AND(A27&gt;2037,C27*365/1000*($B$3-$B$4)&lt;C27*365/1000*($B$7+$B$8)),0,MIN(C27*365/1000,MAX($B$14-F26,0)))</f>
        <v>21.9</v>
      </c>
      <c r="F27" s="18" t="n">
        <f aca="false">F26+E27</f>
        <v>131.181</v>
      </c>
      <c r="G27" s="4" t="n">
        <f aca="false">E27*($B$3-$B$4)</f>
        <v>1401.6</v>
      </c>
      <c r="H27" s="4" t="n">
        <f aca="false">G27*$B$10</f>
        <v>140.16</v>
      </c>
      <c r="I27" s="4" t="n">
        <f aca="false">E27*($B$7+$B$8)</f>
        <v>459.9</v>
      </c>
      <c r="J27" s="4" t="n">
        <f aca="false">$B$6*0+IF(AND(E26&gt;0,E27=0),$B$15*$B$6,0)</f>
        <v>0</v>
      </c>
      <c r="K27" s="4" t="n">
        <f aca="false">G27-I27-J27</f>
        <v>941.7</v>
      </c>
      <c r="L27" s="4" t="n">
        <f aca="false">L26+I27+J27-M27</f>
        <v>4221.18564</v>
      </c>
      <c r="M27" s="4" t="n">
        <f aca="false">MIN(L26+I27+J27,$B$11*(G27-H27))</f>
        <v>756.864</v>
      </c>
      <c r="N27" s="4" t="n">
        <f aca="false">MAX(G27-H27-M27,0)</f>
        <v>504.576</v>
      </c>
      <c r="O27" s="4" t="n">
        <f aca="false">H27+N27*$B$12</f>
        <v>392.448</v>
      </c>
      <c r="P27" s="4" t="n">
        <f aca="false">G27-H27-N27*$B$12-I27-J27</f>
        <v>549.252</v>
      </c>
      <c r="Q27" s="20" t="n">
        <f aca="false">(1+$B$9)^-(A27-2026)</f>
        <v>0.513158118230707</v>
      </c>
    </row>
    <row r="28" customFormat="false" ht="15" hidden="false" customHeight="false" outlineLevel="0" collapsed="false">
      <c r="A28" s="0" t="n">
        <v>2034</v>
      </c>
      <c r="B28" s="0" t="n">
        <v>1</v>
      </c>
      <c r="C28" s="18" t="n">
        <f aca="false">$B$5*B28</f>
        <v>60</v>
      </c>
      <c r="D28" s="18" t="n">
        <f aca="false">IF(E28&gt;0,C28,0)</f>
        <v>60</v>
      </c>
      <c r="E28" s="18" t="n">
        <f aca="false">IF(AND(A28&gt;2037,C28*365/1000*($B$3-$B$4)&lt;C28*365/1000*($B$7+$B$8)),0,MIN(C28*365/1000,MAX($B$14-F27,0)))</f>
        <v>21.9</v>
      </c>
      <c r="F28" s="18" t="n">
        <f aca="false">F27+E28</f>
        <v>153.081</v>
      </c>
      <c r="G28" s="4" t="n">
        <f aca="false">E28*($B$3-$B$4)</f>
        <v>1401.6</v>
      </c>
      <c r="H28" s="4" t="n">
        <f aca="false">G28*$B$10</f>
        <v>140.16</v>
      </c>
      <c r="I28" s="4" t="n">
        <f aca="false">E28*($B$7+$B$8)</f>
        <v>459.9</v>
      </c>
      <c r="J28" s="4" t="n">
        <f aca="false">$B$6*0+IF(AND(E27&gt;0,E28=0),$B$15*$B$6,0)</f>
        <v>0</v>
      </c>
      <c r="K28" s="4" t="n">
        <f aca="false">G28-I28-J28</f>
        <v>941.7</v>
      </c>
      <c r="L28" s="4" t="n">
        <f aca="false">L27+I28+J28-M28</f>
        <v>3924.22164</v>
      </c>
      <c r="M28" s="4" t="n">
        <f aca="false">MIN(L27+I28+J28,$B$11*(G28-H28))</f>
        <v>756.864</v>
      </c>
      <c r="N28" s="4" t="n">
        <f aca="false">MAX(G28-H28-M28,0)</f>
        <v>504.576</v>
      </c>
      <c r="O28" s="4" t="n">
        <f aca="false">H28+N28*$B$12</f>
        <v>392.448</v>
      </c>
      <c r="P28" s="4" t="n">
        <f aca="false">G28-H28-N28*$B$12-I28-J28</f>
        <v>549.252</v>
      </c>
      <c r="Q28" s="20" t="n">
        <f aca="false">(1+$B$9)^-(A28-2026)</f>
        <v>0.466507380209733</v>
      </c>
    </row>
    <row r="29" customFormat="false" ht="15" hidden="false" customHeight="false" outlineLevel="0" collapsed="false">
      <c r="A29" s="0" t="n">
        <v>2035</v>
      </c>
      <c r="B29" s="0" t="n">
        <v>1</v>
      </c>
      <c r="C29" s="18" t="n">
        <f aca="false">$B$5*B29</f>
        <v>60</v>
      </c>
      <c r="D29" s="18" t="n">
        <f aca="false">IF(E29&gt;0,C29,0)</f>
        <v>60</v>
      </c>
      <c r="E29" s="18" t="n">
        <f aca="false">IF(AND(A29&gt;2037,C29*365/1000*($B$3-$B$4)&lt;C29*365/1000*($B$7+$B$8)),0,MIN(C29*365/1000,MAX($B$14-F28,0)))</f>
        <v>21.9</v>
      </c>
      <c r="F29" s="18" t="n">
        <f aca="false">F28+E29</f>
        <v>174.981</v>
      </c>
      <c r="G29" s="4" t="n">
        <f aca="false">E29*($B$3-$B$4)</f>
        <v>1401.6</v>
      </c>
      <c r="H29" s="4" t="n">
        <f aca="false">G29*$B$10</f>
        <v>140.16</v>
      </c>
      <c r="I29" s="4" t="n">
        <f aca="false">E29*($B$7+$B$8)</f>
        <v>459.9</v>
      </c>
      <c r="J29" s="4" t="n">
        <f aca="false">$B$6*0+IF(AND(E28&gt;0,E29=0),$B$15*$B$6,0)</f>
        <v>0</v>
      </c>
      <c r="K29" s="4" t="n">
        <f aca="false">G29-I29-J29</f>
        <v>941.7</v>
      </c>
      <c r="L29" s="4" t="n">
        <f aca="false">L28+I29+J29-M29</f>
        <v>3627.25764</v>
      </c>
      <c r="M29" s="4" t="n">
        <f aca="false">MIN(L28+I29+J29,$B$11*(G29-H29))</f>
        <v>756.864</v>
      </c>
      <c r="N29" s="4" t="n">
        <f aca="false">MAX(G29-H29-M29,0)</f>
        <v>504.576</v>
      </c>
      <c r="O29" s="4" t="n">
        <f aca="false">H29+N29*$B$12</f>
        <v>392.448</v>
      </c>
      <c r="P29" s="4" t="n">
        <f aca="false">G29-H29-N29*$B$12-I29-J29</f>
        <v>549.252</v>
      </c>
      <c r="Q29" s="20" t="n">
        <f aca="false">(1+$B$9)^-(A29-2026)</f>
        <v>0.424097618372485</v>
      </c>
    </row>
    <row r="30" customFormat="false" ht="15" hidden="false" customHeight="false" outlineLevel="0" collapsed="false">
      <c r="A30" s="0" t="n">
        <v>2036</v>
      </c>
      <c r="B30" s="0" t="n">
        <v>1</v>
      </c>
      <c r="C30" s="18" t="n">
        <f aca="false">$B$5*B30</f>
        <v>60</v>
      </c>
      <c r="D30" s="18" t="n">
        <f aca="false">IF(E30&gt;0,C30,0)</f>
        <v>60</v>
      </c>
      <c r="E30" s="18" t="n">
        <f aca="false">IF(AND(A30&gt;2037,C30*365/1000*($B$3-$B$4)&lt;C30*365/1000*($B$7+$B$8)),0,MIN(C30*365/1000,MAX($B$14-F29,0)))</f>
        <v>21.9</v>
      </c>
      <c r="F30" s="18" t="n">
        <f aca="false">F29+E30</f>
        <v>196.881</v>
      </c>
      <c r="G30" s="4" t="n">
        <f aca="false">E30*($B$3-$B$4)</f>
        <v>1401.6</v>
      </c>
      <c r="H30" s="4" t="n">
        <f aca="false">G30*$B$10</f>
        <v>140.16</v>
      </c>
      <c r="I30" s="4" t="n">
        <f aca="false">E30*($B$7+$B$8)</f>
        <v>459.9</v>
      </c>
      <c r="J30" s="4" t="n">
        <f aca="false">$B$6*0+IF(AND(E29&gt;0,E30=0),$B$15*$B$6,0)</f>
        <v>0</v>
      </c>
      <c r="K30" s="4" t="n">
        <f aca="false">G30-I30-J30</f>
        <v>941.7</v>
      </c>
      <c r="L30" s="4" t="n">
        <f aca="false">L29+I30+J30-M30</f>
        <v>3330.29364</v>
      </c>
      <c r="M30" s="4" t="n">
        <f aca="false">MIN(L29+I30+J30,$B$11*(G30-H30))</f>
        <v>756.864</v>
      </c>
      <c r="N30" s="4" t="n">
        <f aca="false">MAX(G30-H30-M30,0)</f>
        <v>504.576</v>
      </c>
      <c r="O30" s="4" t="n">
        <f aca="false">H30+N30*$B$12</f>
        <v>392.448</v>
      </c>
      <c r="P30" s="4" t="n">
        <f aca="false">G30-H30-N30*$B$12-I30-J30</f>
        <v>549.252</v>
      </c>
      <c r="Q30" s="20" t="n">
        <f aca="false">(1+$B$9)^-(A30-2026)</f>
        <v>0.385543289429531</v>
      </c>
    </row>
    <row r="31" customFormat="false" ht="15" hidden="false" customHeight="false" outlineLevel="0" collapsed="false">
      <c r="A31" s="0" t="n">
        <v>2037</v>
      </c>
      <c r="B31" s="0" t="n">
        <v>1</v>
      </c>
      <c r="C31" s="18" t="n">
        <f aca="false">$B$5*B31</f>
        <v>60</v>
      </c>
      <c r="D31" s="18" t="n">
        <f aca="false">IF(E31&gt;0,C31,0)</f>
        <v>60</v>
      </c>
      <c r="E31" s="18" t="n">
        <f aca="false">IF(AND(A31&gt;2037,C31*365/1000*($B$3-$B$4)&lt;C31*365/1000*($B$7+$B$8)),0,MIN(C31*365/1000,MAX($B$14-F30,0)))</f>
        <v>21.9</v>
      </c>
      <c r="F31" s="18" t="n">
        <f aca="false">F30+E31</f>
        <v>218.781</v>
      </c>
      <c r="G31" s="4" t="n">
        <f aca="false">E31*($B$3-$B$4)</f>
        <v>1401.6</v>
      </c>
      <c r="H31" s="4" t="n">
        <f aca="false">G31*$B$10</f>
        <v>140.16</v>
      </c>
      <c r="I31" s="4" t="n">
        <f aca="false">E31*($B$7+$B$8)</f>
        <v>459.9</v>
      </c>
      <c r="J31" s="4" t="n">
        <f aca="false">$B$6*0+IF(AND(E30&gt;0,E31=0),$B$15*$B$6,0)</f>
        <v>0</v>
      </c>
      <c r="K31" s="4" t="n">
        <f aca="false">G31-I31-J31</f>
        <v>941.7</v>
      </c>
      <c r="L31" s="4" t="n">
        <f aca="false">L30+I31+J31-M31</f>
        <v>3033.32964</v>
      </c>
      <c r="M31" s="4" t="n">
        <f aca="false">MIN(L30+I31+J31,$B$11*(G31-H31))</f>
        <v>756.864</v>
      </c>
      <c r="N31" s="4" t="n">
        <f aca="false">MAX(G31-H31-M31,0)</f>
        <v>504.576</v>
      </c>
      <c r="O31" s="4" t="n">
        <f aca="false">H31+N31*$B$12</f>
        <v>392.448</v>
      </c>
      <c r="P31" s="4" t="n">
        <f aca="false">G31-H31-N31*$B$12-I31-J31</f>
        <v>549.252</v>
      </c>
      <c r="Q31" s="20" t="n">
        <f aca="false">(1+$B$9)^-(A31-2026)</f>
        <v>0.350493899481392</v>
      </c>
    </row>
    <row r="32" customFormat="false" ht="15" hidden="false" customHeight="false" outlineLevel="0" collapsed="false">
      <c r="A32" s="0" t="n">
        <v>2038</v>
      </c>
      <c r="C32" s="18" t="n">
        <f aca="false">D31*(1-$B$13)</f>
        <v>54</v>
      </c>
      <c r="D32" s="18" t="n">
        <f aca="false">IF(E32&gt;0,C32,0)</f>
        <v>54</v>
      </c>
      <c r="E32" s="18" t="n">
        <f aca="false">IF(AND(A32&gt;2037,C32*365/1000*($B$3-$B$4)&lt;C32*365/1000*($B$7+$B$8)),0,MIN(C32*365/1000,MAX($B$14-F31,0)))</f>
        <v>19.71</v>
      </c>
      <c r="F32" s="18" t="n">
        <f aca="false">F31+E32</f>
        <v>238.491</v>
      </c>
      <c r="G32" s="4" t="n">
        <f aca="false">E32*($B$3-$B$4)</f>
        <v>1261.44</v>
      </c>
      <c r="H32" s="4" t="n">
        <f aca="false">G32*$B$10</f>
        <v>126.144</v>
      </c>
      <c r="I32" s="4" t="n">
        <f aca="false">E32*($B$7+$B$8)</f>
        <v>413.91</v>
      </c>
      <c r="J32" s="4" t="n">
        <f aca="false">$B$6*0+IF(AND(E31&gt;0,E32=0),$B$15*$B$6,0)</f>
        <v>0</v>
      </c>
      <c r="K32" s="4" t="n">
        <f aca="false">G32-I32-J32</f>
        <v>847.53</v>
      </c>
      <c r="L32" s="4" t="n">
        <f aca="false">L31+I32+J32-M32</f>
        <v>2766.06204</v>
      </c>
      <c r="M32" s="4" t="n">
        <f aca="false">MIN(L31+I32+J32,$B$11*(G32-H32))</f>
        <v>681.1776</v>
      </c>
      <c r="N32" s="4" t="n">
        <f aca="false">MAX(G32-H32-M32,0)</f>
        <v>454.1184</v>
      </c>
      <c r="O32" s="4" t="n">
        <f aca="false">H32+N32*$B$12</f>
        <v>353.2032</v>
      </c>
      <c r="P32" s="4" t="n">
        <f aca="false">G32-H32-N32*$B$12-I32-J32</f>
        <v>494.3268</v>
      </c>
      <c r="Q32" s="20" t="n">
        <f aca="false">(1+$B$9)^-(A32-2026)</f>
        <v>0.318630817710357</v>
      </c>
    </row>
    <row r="33" customFormat="false" ht="15" hidden="false" customHeight="false" outlineLevel="0" collapsed="false">
      <c r="A33" s="0" t="n">
        <v>2039</v>
      </c>
      <c r="C33" s="18" t="n">
        <f aca="false">D32*(1-$B$13)</f>
        <v>48.6</v>
      </c>
      <c r="D33" s="18" t="n">
        <f aca="false">IF(E33&gt;0,C33,0)</f>
        <v>48.6</v>
      </c>
      <c r="E33" s="18" t="n">
        <f aca="false">IF(AND(A33&gt;2037,C33*365/1000*($B$3-$B$4)&lt;C33*365/1000*($B$7+$B$8)),0,MIN(C33*365/1000,MAX($B$14-F32,0)))</f>
        <v>17.739</v>
      </c>
      <c r="F33" s="18" t="n">
        <f aca="false">F32+E33</f>
        <v>256.23</v>
      </c>
      <c r="G33" s="4" t="n">
        <f aca="false">E33*($B$3-$B$4)</f>
        <v>1135.296</v>
      </c>
      <c r="H33" s="4" t="n">
        <f aca="false">G33*$B$10</f>
        <v>113.5296</v>
      </c>
      <c r="I33" s="4" t="n">
        <f aca="false">E33*($B$7+$B$8)</f>
        <v>372.519</v>
      </c>
      <c r="J33" s="4" t="n">
        <f aca="false">$B$6*0+IF(AND(E32&gt;0,E33=0),$B$15*$B$6,0)</f>
        <v>0</v>
      </c>
      <c r="K33" s="4" t="n">
        <f aca="false">G33-I33-J33</f>
        <v>762.777</v>
      </c>
      <c r="L33" s="4" t="n">
        <f aca="false">L32+I33+J33-M33</f>
        <v>2525.5212</v>
      </c>
      <c r="M33" s="4" t="n">
        <f aca="false">MIN(L32+I33+J33,$B$11*(G33-H33))</f>
        <v>613.05984</v>
      </c>
      <c r="N33" s="4" t="n">
        <f aca="false">MAX(G33-H33-M33,0)</f>
        <v>408.70656</v>
      </c>
      <c r="O33" s="4" t="n">
        <f aca="false">H33+N33*$B$12</f>
        <v>317.88288</v>
      </c>
      <c r="P33" s="4" t="n">
        <f aca="false">G33-H33-N33*$B$12-I33-J33</f>
        <v>444.89412</v>
      </c>
      <c r="Q33" s="20" t="n">
        <f aca="false">(1+$B$9)^-(A33-2026)</f>
        <v>0.289664379736688</v>
      </c>
    </row>
    <row r="34" customFormat="false" ht="15" hidden="false" customHeight="false" outlineLevel="0" collapsed="false">
      <c r="A34" s="0" t="n">
        <v>2040</v>
      </c>
      <c r="C34" s="18" t="n">
        <f aca="false">D33*(1-$B$13)</f>
        <v>43.74</v>
      </c>
      <c r="D34" s="18" t="n">
        <f aca="false">IF(E34&gt;0,C34,0)</f>
        <v>43.74</v>
      </c>
      <c r="E34" s="18" t="n">
        <f aca="false">IF(AND(A34&gt;2037,C34*365/1000*($B$3-$B$4)&lt;C34*365/1000*($B$7+$B$8)),0,MIN(C34*365/1000,MAX($B$14-F33,0)))</f>
        <v>15.9651</v>
      </c>
      <c r="F34" s="18" t="n">
        <f aca="false">F33+E34</f>
        <v>272.1951</v>
      </c>
      <c r="G34" s="4" t="n">
        <f aca="false">E34*($B$3-$B$4)</f>
        <v>1021.7664</v>
      </c>
      <c r="H34" s="4" t="n">
        <f aca="false">G34*$B$10</f>
        <v>102.17664</v>
      </c>
      <c r="I34" s="4" t="n">
        <f aca="false">E34*($B$7+$B$8)</f>
        <v>335.2671</v>
      </c>
      <c r="J34" s="4" t="n">
        <f aca="false">$B$6*0+IF(AND(E33&gt;0,E34=0),$B$15*$B$6,0)</f>
        <v>0</v>
      </c>
      <c r="K34" s="4" t="n">
        <f aca="false">G34-I34-J34</f>
        <v>686.4993</v>
      </c>
      <c r="L34" s="4" t="n">
        <f aca="false">L33+I34+J34-M34</f>
        <v>2309.034444</v>
      </c>
      <c r="M34" s="4" t="n">
        <f aca="false">MIN(L33+I34+J34,$B$11*(G34-H34))</f>
        <v>551.753856</v>
      </c>
      <c r="N34" s="4" t="n">
        <f aca="false">MAX(G34-H34-M34,0)</f>
        <v>367.835904</v>
      </c>
      <c r="O34" s="4" t="n">
        <f aca="false">H34+N34*$B$12</f>
        <v>286.094592</v>
      </c>
      <c r="P34" s="4" t="n">
        <f aca="false">G34-H34-N34*$B$12-I34-J34</f>
        <v>400.404708</v>
      </c>
      <c r="Q34" s="20" t="n">
        <f aca="false">(1+$B$9)^-(A34-2026)</f>
        <v>0.26333125430608</v>
      </c>
    </row>
    <row r="35" customFormat="false" ht="15" hidden="false" customHeight="false" outlineLevel="0" collapsed="false">
      <c r="A35" s="0" t="n">
        <v>2041</v>
      </c>
      <c r="C35" s="18" t="n">
        <f aca="false">D34*(1-$B$13)</f>
        <v>39.366</v>
      </c>
      <c r="D35" s="18" t="n">
        <f aca="false">IF(E35&gt;0,C35,0)</f>
        <v>39.366</v>
      </c>
      <c r="E35" s="18" t="n">
        <f aca="false">IF(AND(A35&gt;2037,C35*365/1000*($B$3-$B$4)&lt;C35*365/1000*($B$7+$B$8)),0,MIN(C35*365/1000,MAX($B$14-F34,0)))</f>
        <v>14.36859</v>
      </c>
      <c r="F35" s="18" t="n">
        <f aca="false">F34+E35</f>
        <v>286.56369</v>
      </c>
      <c r="G35" s="4" t="n">
        <f aca="false">E35*($B$3-$B$4)</f>
        <v>919.58976</v>
      </c>
      <c r="H35" s="4" t="n">
        <f aca="false">G35*$B$10</f>
        <v>91.958976</v>
      </c>
      <c r="I35" s="4" t="n">
        <f aca="false">E35*($B$7+$B$8)</f>
        <v>301.74039</v>
      </c>
      <c r="J35" s="4" t="n">
        <f aca="false">$B$6*0+IF(AND(E34&gt;0,E35=0),$B$15*$B$6,0)</f>
        <v>0</v>
      </c>
      <c r="K35" s="4" t="n">
        <f aca="false">G35-I35-J35</f>
        <v>617.84937</v>
      </c>
      <c r="L35" s="4" t="n">
        <f aca="false">L34+I35+J35-M35</f>
        <v>2114.1963636</v>
      </c>
      <c r="M35" s="4" t="n">
        <f aca="false">MIN(L34+I35+J35,$B$11*(G35-H35))</f>
        <v>496.5784704</v>
      </c>
      <c r="N35" s="4" t="n">
        <f aca="false">MAX(G35-H35-M35,0)</f>
        <v>331.0523136</v>
      </c>
      <c r="O35" s="4" t="n">
        <f aca="false">H35+N35*$B$12</f>
        <v>257.4851328</v>
      </c>
      <c r="P35" s="4" t="n">
        <f aca="false">G35-H35-N35*$B$12-I35-J35</f>
        <v>360.3642372</v>
      </c>
      <c r="Q35" s="20" t="n">
        <f aca="false">(1+$B$9)^-(A35-2026)</f>
        <v>0.239392049369163</v>
      </c>
    </row>
    <row r="36" customFormat="false" ht="15" hidden="false" customHeight="false" outlineLevel="0" collapsed="false">
      <c r="A36" s="0" t="n">
        <v>2042</v>
      </c>
      <c r="C36" s="18" t="n">
        <f aca="false">D35*(1-$B$13)</f>
        <v>35.4294</v>
      </c>
      <c r="D36" s="18" t="n">
        <f aca="false">IF(E36&gt;0,C36,0)</f>
        <v>35.4294</v>
      </c>
      <c r="E36" s="18" t="n">
        <f aca="false">IF(AND(A36&gt;2037,C36*365/1000*($B$3-$B$4)&lt;C36*365/1000*($B$7+$B$8)),0,MIN(C36*365/1000,MAX($B$14-F35,0)))</f>
        <v>12.931731</v>
      </c>
      <c r="F36" s="18" t="n">
        <f aca="false">F35+E36</f>
        <v>299.495421</v>
      </c>
      <c r="G36" s="4" t="n">
        <f aca="false">E36*($B$3-$B$4)</f>
        <v>827.630784</v>
      </c>
      <c r="H36" s="4" t="n">
        <f aca="false">G36*$B$10</f>
        <v>82.7630784</v>
      </c>
      <c r="I36" s="4" t="n">
        <f aca="false">E36*($B$7+$B$8)</f>
        <v>271.566351</v>
      </c>
      <c r="J36" s="4" t="n">
        <f aca="false">$B$6*0+IF(AND(E35&gt;0,E36=0),$B$15*$B$6,0)</f>
        <v>0</v>
      </c>
      <c r="K36" s="4" t="n">
        <f aca="false">G36-I36-J36</f>
        <v>556.064433</v>
      </c>
      <c r="L36" s="4" t="n">
        <f aca="false">L35+I36+J36-M36</f>
        <v>1938.84209124</v>
      </c>
      <c r="M36" s="4" t="n">
        <f aca="false">MIN(L35+I36+J36,$B$11*(G36-H36))</f>
        <v>446.92062336</v>
      </c>
      <c r="N36" s="4" t="n">
        <f aca="false">MAX(G36-H36-M36,0)</f>
        <v>297.94708224</v>
      </c>
      <c r="O36" s="4" t="n">
        <f aca="false">H36+N36*$B$12</f>
        <v>231.73661952</v>
      </c>
      <c r="P36" s="4" t="n">
        <f aca="false">G36-H36-N36*$B$12-I36-J36</f>
        <v>324.32781348</v>
      </c>
      <c r="Q36" s="20" t="n">
        <f aca="false">(1+$B$9)^-(A36-2026)</f>
        <v>0.217629135790149</v>
      </c>
    </row>
    <row r="37" customFormat="false" ht="15" hidden="false" customHeight="false" outlineLevel="0" collapsed="false">
      <c r="A37" s="0" t="n">
        <v>2043</v>
      </c>
      <c r="C37" s="18" t="n">
        <f aca="false">D36*(1-$B$13)</f>
        <v>31.88646</v>
      </c>
      <c r="D37" s="18" t="n">
        <f aca="false">IF(E37&gt;0,C37,0)</f>
        <v>31.88646</v>
      </c>
      <c r="E37" s="18" t="n">
        <f aca="false">IF(AND(A37&gt;2037,C37*365/1000*($B$3-$B$4)&lt;C37*365/1000*($B$7+$B$8)),0,MIN(C37*365/1000,MAX($B$14-F36,0)))</f>
        <v>11.6385579</v>
      </c>
      <c r="F37" s="18" t="n">
        <f aca="false">F36+E37</f>
        <v>311.1339789</v>
      </c>
      <c r="G37" s="4" t="n">
        <f aca="false">E37*($B$3-$B$4)</f>
        <v>744.8677056</v>
      </c>
      <c r="H37" s="4" t="n">
        <f aca="false">G37*$B$10</f>
        <v>74.48677056</v>
      </c>
      <c r="I37" s="4" t="n">
        <f aca="false">E37*($B$7+$B$8)</f>
        <v>244.4097159</v>
      </c>
      <c r="J37" s="4" t="n">
        <f aca="false">$B$6*0+IF(AND(E36&gt;0,E37=0),$B$15*$B$6,0)</f>
        <v>0</v>
      </c>
      <c r="K37" s="4" t="n">
        <f aca="false">G37-I37-J37</f>
        <v>500.4579897</v>
      </c>
      <c r="L37" s="4" t="n">
        <f aca="false">L36+I37+J37-M37</f>
        <v>1781.023246116</v>
      </c>
      <c r="M37" s="4" t="n">
        <f aca="false">MIN(L36+I37+J37,$B$11*(G37-H37))</f>
        <v>402.228561024</v>
      </c>
      <c r="N37" s="4" t="n">
        <f aca="false">MAX(G37-H37-M37,0)</f>
        <v>268.152374016</v>
      </c>
      <c r="O37" s="4" t="n">
        <f aca="false">H37+N37*$B$12</f>
        <v>208.562957568</v>
      </c>
      <c r="P37" s="4" t="n">
        <f aca="false">G37-H37-N37*$B$12-I37-J37</f>
        <v>291.895032132</v>
      </c>
      <c r="Q37" s="20" t="n">
        <f aca="false">(1+$B$9)^-(A37-2026)</f>
        <v>0.197844668900135</v>
      </c>
    </row>
    <row r="38" customFormat="false" ht="15" hidden="false" customHeight="false" outlineLevel="0" collapsed="false">
      <c r="A38" s="0" t="n">
        <v>2044</v>
      </c>
      <c r="C38" s="18" t="n">
        <f aca="false">D37*(1-$B$13)</f>
        <v>28.697814</v>
      </c>
      <c r="D38" s="18" t="n">
        <f aca="false">IF(E38&gt;0,C38,0)</f>
        <v>28.697814</v>
      </c>
      <c r="E38" s="18" t="n">
        <f aca="false">IF(AND(A38&gt;2037,C38*365/1000*($B$3-$B$4)&lt;C38*365/1000*($B$7+$B$8)),0,MIN(C38*365/1000,MAX($B$14-F37,0)))</f>
        <v>10.47470211</v>
      </c>
      <c r="F38" s="18" t="n">
        <f aca="false">F37+E38</f>
        <v>321.60868101</v>
      </c>
      <c r="G38" s="4" t="n">
        <f aca="false">E38*($B$3-$B$4)</f>
        <v>670.38093504</v>
      </c>
      <c r="H38" s="4" t="n">
        <f aca="false">G38*$B$10</f>
        <v>67.038093504</v>
      </c>
      <c r="I38" s="4" t="n">
        <f aca="false">E38*($B$7+$B$8)</f>
        <v>219.96874431</v>
      </c>
      <c r="J38" s="4" t="n">
        <f aca="false">$B$6*0+IF(AND(E37&gt;0,E38=0),$B$15*$B$6,0)</f>
        <v>0</v>
      </c>
      <c r="K38" s="4" t="n">
        <f aca="false">G38-I38-J38</f>
        <v>450.41219073</v>
      </c>
      <c r="L38" s="4" t="n">
        <f aca="false">L37+I38+J38-M38</f>
        <v>1638.9862855044</v>
      </c>
      <c r="M38" s="4" t="n">
        <f aca="false">MIN(L37+I38+J38,$B$11*(G38-H38))</f>
        <v>362.0057049216</v>
      </c>
      <c r="N38" s="4" t="n">
        <f aca="false">MAX(G38-H38-M38,0)</f>
        <v>241.3371366144</v>
      </c>
      <c r="O38" s="4" t="n">
        <f aca="false">H38+N38*$B$12</f>
        <v>187.7066618112</v>
      </c>
      <c r="P38" s="4" t="n">
        <f aca="false">G38-H38-N38*$B$12-I38-J38</f>
        <v>262.7055289188</v>
      </c>
      <c r="Q38" s="20" t="n">
        <f aca="false">(1+$B$9)^-(A38-2026)</f>
        <v>0.179858789909214</v>
      </c>
    </row>
    <row r="39" customFormat="false" ht="15" hidden="false" customHeight="false" outlineLevel="0" collapsed="false">
      <c r="A39" s="0" t="n">
        <v>2045</v>
      </c>
      <c r="C39" s="18" t="n">
        <f aca="false">D38*(1-$B$13)</f>
        <v>25.8280326</v>
      </c>
      <c r="D39" s="18" t="n">
        <f aca="false">IF(E39&gt;0,C39,0)</f>
        <v>25.8280326</v>
      </c>
      <c r="E39" s="18" t="n">
        <f aca="false">IF(AND(A39&gt;2037,C39*365/1000*($B$3-$B$4)&lt;C39*365/1000*($B$7+$B$8)),0,MIN(C39*365/1000,MAX($B$14-F38,0)))</f>
        <v>9.427231899</v>
      </c>
      <c r="F39" s="18" t="n">
        <f aca="false">F38+E39</f>
        <v>331.035912909</v>
      </c>
      <c r="G39" s="4" t="n">
        <f aca="false">E39*($B$3-$B$4)</f>
        <v>603.342841536</v>
      </c>
      <c r="H39" s="4" t="n">
        <f aca="false">G39*$B$10</f>
        <v>60.3342841536</v>
      </c>
      <c r="I39" s="4" t="n">
        <f aca="false">E39*($B$7+$B$8)</f>
        <v>197.971869879</v>
      </c>
      <c r="J39" s="4" t="n">
        <f aca="false">$B$6*0+IF(AND(E38&gt;0,E39=0),$B$15*$B$6,0)</f>
        <v>0</v>
      </c>
      <c r="K39" s="4" t="n">
        <f aca="false">G39-I39-J39</f>
        <v>405.370971657</v>
      </c>
      <c r="L39" s="4" t="n">
        <f aca="false">L38+I39+J39-M39</f>
        <v>1511.15302095396</v>
      </c>
      <c r="M39" s="4" t="n">
        <f aca="false">MIN(L38+I39+J39,$B$11*(G39-H39))</f>
        <v>325.80513442944</v>
      </c>
      <c r="N39" s="4" t="n">
        <f aca="false">MAX(G39-H39-M39,0)</f>
        <v>217.20342295296</v>
      </c>
      <c r="O39" s="4" t="n">
        <f aca="false">H39+N39*$B$12</f>
        <v>168.93599563008</v>
      </c>
      <c r="P39" s="4" t="n">
        <f aca="false">G39-H39-N39*$B$12-I39-J39</f>
        <v>236.43497602692</v>
      </c>
      <c r="Q39" s="20" t="n">
        <f aca="false">(1+$B$9)^-(A39-2026)</f>
        <v>0.163507990826558</v>
      </c>
    </row>
    <row r="40" customFormat="false" ht="15" hidden="false" customHeight="false" outlineLevel="0" collapsed="false">
      <c r="A40" s="0" t="n">
        <v>2046</v>
      </c>
      <c r="C40" s="18" t="n">
        <f aca="false">D39*(1-$B$13)</f>
        <v>23.24522934</v>
      </c>
      <c r="D40" s="18" t="n">
        <f aca="false">IF(E40&gt;0,C40,0)</f>
        <v>23.24522934</v>
      </c>
      <c r="E40" s="18" t="n">
        <f aca="false">IF(AND(A40&gt;2037,C40*365/1000*($B$3-$B$4)&lt;C40*365/1000*($B$7+$B$8)),0,MIN(C40*365/1000,MAX($B$14-F39,0)))</f>
        <v>8.4845087091</v>
      </c>
      <c r="F40" s="18" t="n">
        <f aca="false">F39+E40</f>
        <v>339.5204216181</v>
      </c>
      <c r="G40" s="4" t="n">
        <f aca="false">E40*($B$3-$B$4)</f>
        <v>543.0085573824</v>
      </c>
      <c r="H40" s="4" t="n">
        <f aca="false">G40*$B$10</f>
        <v>54.30085573824</v>
      </c>
      <c r="I40" s="4" t="n">
        <f aca="false">E40*($B$7+$B$8)</f>
        <v>178.1746828911</v>
      </c>
      <c r="J40" s="4" t="n">
        <f aca="false">$B$6*0+IF(AND(E39&gt;0,E40=0),$B$15*$B$6,0)</f>
        <v>0</v>
      </c>
      <c r="K40" s="4" t="n">
        <f aca="false">G40-I40-J40</f>
        <v>364.8338744913</v>
      </c>
      <c r="L40" s="4" t="n">
        <f aca="false">L39+I40+J40-M40</f>
        <v>1396.10308285856</v>
      </c>
      <c r="M40" s="4" t="n">
        <f aca="false">MIN(L39+I40+J40,$B$11*(G40-H40))</f>
        <v>293.224620986496</v>
      </c>
      <c r="N40" s="4" t="n">
        <f aca="false">MAX(G40-H40-M40,0)</f>
        <v>195.483080657664</v>
      </c>
      <c r="O40" s="4" t="n">
        <f aca="false">H40+N40*$B$12</f>
        <v>152.042396067072</v>
      </c>
      <c r="P40" s="4" t="n">
        <f aca="false">G40-H40-N40*$B$12-I40-J40</f>
        <v>212.791478424228</v>
      </c>
      <c r="Q40" s="20" t="n">
        <f aca="false">(1+$B$9)^-(A40-2026)</f>
        <v>0.148643628024143</v>
      </c>
    </row>
    <row r="41" customFormat="false" ht="15" hidden="false" customHeight="false" outlineLevel="0" collapsed="false">
      <c r="A41" s="0" t="n">
        <v>2047</v>
      </c>
      <c r="C41" s="18" t="n">
        <f aca="false">D40*(1-$B$13)</f>
        <v>20.920706406</v>
      </c>
      <c r="D41" s="18" t="n">
        <f aca="false">IF(E41&gt;0,C41,0)</f>
        <v>20.920706406</v>
      </c>
      <c r="E41" s="18" t="n">
        <f aca="false">IF(AND(A41&gt;2037,C41*365/1000*($B$3-$B$4)&lt;C41*365/1000*($B$7+$B$8)),0,MIN(C41*365/1000,MAX($B$14-F40,0)))</f>
        <v>7.63605783819</v>
      </c>
      <c r="F41" s="18" t="n">
        <f aca="false">F40+E41</f>
        <v>347.15647945629</v>
      </c>
      <c r="G41" s="4" t="n">
        <f aca="false">E41*($B$3-$B$4)</f>
        <v>488.70770164416</v>
      </c>
      <c r="H41" s="4" t="n">
        <f aca="false">G41*$B$10</f>
        <v>48.870770164416</v>
      </c>
      <c r="I41" s="4" t="n">
        <f aca="false">E41*($B$7+$B$8)</f>
        <v>160.35721460199</v>
      </c>
      <c r="J41" s="4" t="n">
        <f aca="false">$B$6*0+IF(AND(E40&gt;0,E41=0),$B$15*$B$6,0)</f>
        <v>0</v>
      </c>
      <c r="K41" s="4" t="n">
        <f aca="false">G41-I41-J41</f>
        <v>328.35048704217</v>
      </c>
      <c r="L41" s="4" t="n">
        <f aca="false">L40+I41+J41-M41</f>
        <v>1292.55813857271</v>
      </c>
      <c r="M41" s="4" t="n">
        <f aca="false">MIN(L40+I41+J41,$B$11*(G41-H41))</f>
        <v>263.902158887846</v>
      </c>
      <c r="N41" s="4" t="n">
        <f aca="false">MAX(G41-H41-M41,0)</f>
        <v>175.934772591898</v>
      </c>
      <c r="O41" s="4" t="n">
        <f aca="false">H41+N41*$B$12</f>
        <v>136.838156460365</v>
      </c>
      <c r="P41" s="4" t="n">
        <f aca="false">G41-H41-N41*$B$12-I41-J41</f>
        <v>191.512330581805</v>
      </c>
      <c r="Q41" s="20" t="n">
        <f aca="false">(1+$B$9)^-(A41-2026)</f>
        <v>0.135130570931039</v>
      </c>
    </row>
    <row r="42" customFormat="false" ht="15" hidden="false" customHeight="false" outlineLevel="0" collapsed="false">
      <c r="A42" s="0" t="n">
        <v>2048</v>
      </c>
      <c r="C42" s="18" t="n">
        <f aca="false">D41*(1-$B$13)</f>
        <v>18.8286357654</v>
      </c>
      <c r="D42" s="18" t="n">
        <f aca="false">IF(E42&gt;0,C42,0)</f>
        <v>18.8286357654</v>
      </c>
      <c r="E42" s="18" t="n">
        <f aca="false">IF(AND(A42&gt;2037,C42*365/1000*($B$3-$B$4)&lt;C42*365/1000*($B$7+$B$8)),0,MIN(C42*365/1000,MAX($B$14-F41,0)))</f>
        <v>6.872452054371</v>
      </c>
      <c r="F42" s="18" t="n">
        <f aca="false">F41+E42</f>
        <v>354.028931510661</v>
      </c>
      <c r="G42" s="4" t="n">
        <f aca="false">E42*($B$3-$B$4)</f>
        <v>439.836931479744</v>
      </c>
      <c r="H42" s="4" t="n">
        <f aca="false">G42*$B$10</f>
        <v>43.9836931479744</v>
      </c>
      <c r="I42" s="4" t="n">
        <f aca="false">E42*($B$7+$B$8)</f>
        <v>144.321493141791</v>
      </c>
      <c r="J42" s="4" t="n">
        <f aca="false">$B$6*0+IF(AND(E41&gt;0,E42=0),$B$15*$B$6,0)</f>
        <v>0</v>
      </c>
      <c r="K42" s="4" t="n">
        <f aca="false">G42-I42-J42</f>
        <v>295.515438337953</v>
      </c>
      <c r="L42" s="4" t="n">
        <f aca="false">L41+I42+J42-M42</f>
        <v>1199.36768871544</v>
      </c>
      <c r="M42" s="4" t="n">
        <f aca="false">MIN(L41+I42+J42,$B$11*(G42-H42))</f>
        <v>237.511942999062</v>
      </c>
      <c r="N42" s="4" t="n">
        <f aca="false">MAX(G42-H42-M42,0)</f>
        <v>158.341295332708</v>
      </c>
      <c r="O42" s="4" t="n">
        <f aca="false">H42+N42*$B$12</f>
        <v>123.154340814328</v>
      </c>
      <c r="P42" s="4" t="n">
        <f aca="false">G42-H42-N42*$B$12-I42-J42</f>
        <v>172.361097523625</v>
      </c>
      <c r="Q42" s="20" t="n">
        <f aca="false">(1+$B$9)^-(A42-2026)</f>
        <v>0.122845973573672</v>
      </c>
    </row>
    <row r="43" customFormat="false" ht="15" hidden="false" customHeight="false" outlineLevel="0" collapsed="false">
      <c r="A43" s="0" t="n">
        <v>2049</v>
      </c>
      <c r="C43" s="18" t="n">
        <f aca="false">D42*(1-$B$13)</f>
        <v>16.94577218886</v>
      </c>
      <c r="D43" s="18" t="n">
        <f aca="false">IF(E43&gt;0,C43,0)</f>
        <v>16.94577218886</v>
      </c>
      <c r="E43" s="18" t="n">
        <f aca="false">IF(AND(A43&gt;2037,C43*365/1000*($B$3-$B$4)&lt;C43*365/1000*($B$7+$B$8)),0,MIN(C43*365/1000,MAX($B$14-F42,0)))</f>
        <v>6.1852068489339</v>
      </c>
      <c r="F43" s="18" t="n">
        <f aca="false">F42+E43</f>
        <v>360.214138359595</v>
      </c>
      <c r="G43" s="4" t="n">
        <f aca="false">E43*($B$3-$B$4)</f>
        <v>395.85323833177</v>
      </c>
      <c r="H43" s="4" t="n">
        <f aca="false">G43*$B$10</f>
        <v>39.585323833177</v>
      </c>
      <c r="I43" s="4" t="n">
        <f aca="false">E43*($B$7+$B$8)</f>
        <v>129.889343827612</v>
      </c>
      <c r="J43" s="4" t="n">
        <f aca="false">$B$6*0+IF(AND(E42&gt;0,E43=0),$B$15*$B$6,0)</f>
        <v>0</v>
      </c>
      <c r="K43" s="4" t="n">
        <f aca="false">G43-I43-J43</f>
        <v>265.963894504158</v>
      </c>
      <c r="L43" s="4" t="n">
        <f aca="false">L42+I43+J43-M43</f>
        <v>1115.49628384389</v>
      </c>
      <c r="M43" s="4" t="n">
        <f aca="false">MIN(L42+I43+J43,$B$11*(G43-H43))</f>
        <v>213.760748699156</v>
      </c>
      <c r="N43" s="4" t="n">
        <f aca="false">MAX(G43-H43-M43,0)</f>
        <v>142.507165799437</v>
      </c>
      <c r="O43" s="4" t="n">
        <f aca="false">H43+N43*$B$12</f>
        <v>110.838906732896</v>
      </c>
      <c r="P43" s="4" t="n">
        <f aca="false">G43-H43-N43*$B$12-I43-J43</f>
        <v>155.124987771262</v>
      </c>
      <c r="Q43" s="20" t="n">
        <f aca="false">(1+$B$9)^-(A43-2026)</f>
        <v>0.111678157794247</v>
      </c>
    </row>
    <row r="44" customFormat="false" ht="15" hidden="false" customHeight="false" outlineLevel="0" collapsed="false">
      <c r="A44" s="0" t="n">
        <v>2050</v>
      </c>
      <c r="C44" s="18" t="n">
        <f aca="false">D43*(1-$B$13)</f>
        <v>15.251194969974</v>
      </c>
      <c r="D44" s="18" t="n">
        <f aca="false">IF(E44&gt;0,C44,0)</f>
        <v>15.251194969974</v>
      </c>
      <c r="E44" s="18" t="n">
        <f aca="false">IF(AND(A44&gt;2037,C44*365/1000*($B$3-$B$4)&lt;C44*365/1000*($B$7+$B$8)),0,MIN(C44*365/1000,MAX($B$14-F43,0)))</f>
        <v>5.56668616404051</v>
      </c>
      <c r="F44" s="18" t="n">
        <f aca="false">F43+E44</f>
        <v>365.780824523636</v>
      </c>
      <c r="G44" s="4" t="n">
        <f aca="false">E44*($B$3-$B$4)</f>
        <v>356.267914498593</v>
      </c>
      <c r="H44" s="4" t="n">
        <f aca="false">G44*$B$10</f>
        <v>35.6267914498593</v>
      </c>
      <c r="I44" s="4" t="n">
        <f aca="false">E44*($B$7+$B$8)</f>
        <v>116.900409444851</v>
      </c>
      <c r="J44" s="4" t="n">
        <f aca="false">$B$6*0+IF(AND(E43&gt;0,E44=0),$B$15*$B$6,0)</f>
        <v>0</v>
      </c>
      <c r="K44" s="4" t="n">
        <f aca="false">G44-I44-J44</f>
        <v>239.367505053742</v>
      </c>
      <c r="L44" s="4" t="n">
        <f aca="false">L43+I44+J44-M44</f>
        <v>1040.0120194595</v>
      </c>
      <c r="M44" s="4" t="n">
        <f aca="false">MIN(L43+I44+J44,$B$11*(G44-H44))</f>
        <v>192.38467382924</v>
      </c>
      <c r="N44" s="4" t="n">
        <f aca="false">MAX(G44-H44-M44,0)</f>
        <v>128.256449219493</v>
      </c>
      <c r="O44" s="4" t="n">
        <f aca="false">H44+N44*$B$12</f>
        <v>99.755016059606</v>
      </c>
      <c r="P44" s="4" t="n">
        <f aca="false">G44-H44-N44*$B$12-I44-J44</f>
        <v>139.612488994136</v>
      </c>
      <c r="Q44" s="20" t="n">
        <f aca="false">(1+$B$9)^-(A44-2026)</f>
        <v>0.10152559799477</v>
      </c>
    </row>
    <row r="45" customFormat="false" ht="15" hidden="false" customHeight="false" outlineLevel="0" collapsed="false">
      <c r="A45" s="0" t="n">
        <v>2051</v>
      </c>
      <c r="C45" s="18" t="n">
        <f aca="false">D44*(1-$B$13)</f>
        <v>13.7260754729766</v>
      </c>
      <c r="D45" s="18" t="n">
        <f aca="false">IF(E45&gt;0,C45,0)</f>
        <v>13.7260754729766</v>
      </c>
      <c r="E45" s="18" t="n">
        <f aca="false">IF(AND(A45&gt;2037,C45*365/1000*($B$3-$B$4)&lt;C45*365/1000*($B$7+$B$8)),0,MIN(C45*365/1000,MAX($B$14-F44,0)))</f>
        <v>5.01001754763646</v>
      </c>
      <c r="F45" s="18" t="n">
        <f aca="false">F44+E45</f>
        <v>370.790842071272</v>
      </c>
      <c r="G45" s="4" t="n">
        <f aca="false">E45*($B$3-$B$4)</f>
        <v>320.641123048734</v>
      </c>
      <c r="H45" s="4" t="n">
        <f aca="false">G45*$B$10</f>
        <v>32.0641123048734</v>
      </c>
      <c r="I45" s="4" t="n">
        <f aca="false">E45*($B$7+$B$8)</f>
        <v>105.210368500366</v>
      </c>
      <c r="J45" s="4" t="n">
        <f aca="false">$B$6*0+IF(AND(E44&gt;0,E45=0),$B$15*$B$6,0)</f>
        <v>0</v>
      </c>
      <c r="K45" s="4" t="n">
        <f aca="false">G45-I45-J45</f>
        <v>215.430754548368</v>
      </c>
      <c r="L45" s="4" t="n">
        <f aca="false">L44+I45+J45-M45</f>
        <v>972.076181513554</v>
      </c>
      <c r="M45" s="4" t="n">
        <f aca="false">MIN(L44+I45+J45,$B$11*(G45-H45))</f>
        <v>173.146206446316</v>
      </c>
      <c r="N45" s="4" t="n">
        <f aca="false">MAX(G45-H45-M45,0)</f>
        <v>115.430804297544</v>
      </c>
      <c r="O45" s="4" t="n">
        <f aca="false">H45+N45*$B$12</f>
        <v>89.7795144536454</v>
      </c>
      <c r="P45" s="4" t="n">
        <f aca="false">G45-H45-N45*$B$12-I45-J45</f>
        <v>125.651240094722</v>
      </c>
      <c r="Q45" s="20" t="n">
        <f aca="false">(1+$B$9)^-(A45-2026)</f>
        <v>0.092295998177064</v>
      </c>
    </row>
    <row r="46" customFormat="false" ht="15" hidden="false" customHeight="false" outlineLevel="0" collapsed="false">
      <c r="A46" s="0" t="n">
        <v>2052</v>
      </c>
      <c r="C46" s="18" t="n">
        <f aca="false">D45*(1-$B$13)</f>
        <v>12.3534679256789</v>
      </c>
      <c r="D46" s="18" t="n">
        <f aca="false">IF(E46&gt;0,C46,0)</f>
        <v>12.3534679256789</v>
      </c>
      <c r="E46" s="18" t="n">
        <f aca="false">IF(AND(A46&gt;2037,C46*365/1000*($B$3-$B$4)&lt;C46*365/1000*($B$7+$B$8)),0,MIN(C46*365/1000,MAX($B$14-F45,0)))</f>
        <v>4.50901579287282</v>
      </c>
      <c r="F46" s="18" t="n">
        <f aca="false">F45+E46</f>
        <v>375.299857864145</v>
      </c>
      <c r="G46" s="4" t="n">
        <f aca="false">E46*($B$3-$B$4)</f>
        <v>288.57701074386</v>
      </c>
      <c r="H46" s="4" t="n">
        <f aca="false">G46*$B$10</f>
        <v>28.857701074386</v>
      </c>
      <c r="I46" s="4" t="n">
        <f aca="false">E46*($B$7+$B$8)</f>
        <v>94.6893316503291</v>
      </c>
      <c r="J46" s="4" t="n">
        <f aca="false">$B$6*0+IF(AND(E45&gt;0,E46=0),$B$15*$B$6,0)</f>
        <v>0</v>
      </c>
      <c r="K46" s="4" t="n">
        <f aca="false">G46-I46-J46</f>
        <v>193.887679093531</v>
      </c>
      <c r="L46" s="4" t="n">
        <f aca="false">L45+I46+J46-M46</f>
        <v>910.933927362198</v>
      </c>
      <c r="M46" s="4" t="n">
        <f aca="false">MIN(L45+I46+J46,$B$11*(G46-H46))</f>
        <v>155.831585801685</v>
      </c>
      <c r="N46" s="4" t="n">
        <f aca="false">MAX(G46-H46-M46,0)</f>
        <v>103.88772386779</v>
      </c>
      <c r="O46" s="4" t="n">
        <f aca="false">H46+N46*$B$12</f>
        <v>80.8015630082809</v>
      </c>
      <c r="P46" s="4" t="n">
        <f aca="false">G46-H46-N46*$B$12-I46-J46</f>
        <v>113.08611608525</v>
      </c>
      <c r="Q46" s="20" t="n">
        <f aca="false">(1+$B$9)^-(A46-2026)</f>
        <v>0.08390545288824</v>
      </c>
    </row>
    <row r="47" customFormat="false" ht="15" hidden="false" customHeight="false" outlineLevel="0" collapsed="false">
      <c r="A47" s="0" t="n">
        <v>2053</v>
      </c>
      <c r="C47" s="18" t="n">
        <f aca="false">D46*(1-$B$13)</f>
        <v>11.1181211331111</v>
      </c>
      <c r="D47" s="18" t="n">
        <f aca="false">IF(E47&gt;0,C47,0)</f>
        <v>11.1181211331111</v>
      </c>
      <c r="E47" s="18" t="n">
        <f aca="false">IF(AND(A47&gt;2037,C47*365/1000*($B$3-$B$4)&lt;C47*365/1000*($B$7+$B$8)),0,MIN(C47*365/1000,MAX($B$14-F46,0)))</f>
        <v>4.05811421358553</v>
      </c>
      <c r="F47" s="18" t="n">
        <f aca="false">F46+E47</f>
        <v>379.35797207773</v>
      </c>
      <c r="G47" s="4" t="n">
        <f aca="false">E47*($B$3-$B$4)</f>
        <v>259.719309669474</v>
      </c>
      <c r="H47" s="4" t="n">
        <f aca="false">G47*$B$10</f>
        <v>25.9719309669474</v>
      </c>
      <c r="I47" s="4" t="n">
        <f aca="false">E47*($B$7+$B$8)</f>
        <v>85.2203984852962</v>
      </c>
      <c r="J47" s="4" t="n">
        <f aca="false">$B$6*0+IF(AND(E46&gt;0,E47=0),$B$15*$B$6,0)</f>
        <v>0</v>
      </c>
      <c r="K47" s="4" t="n">
        <f aca="false">G47-I47-J47</f>
        <v>174.498911184178</v>
      </c>
      <c r="L47" s="4" t="n">
        <f aca="false">L46+I47+J47-M47</f>
        <v>855.905898625978</v>
      </c>
      <c r="M47" s="4" t="n">
        <f aca="false">MIN(L46+I47+J47,$B$11*(G47-H47))</f>
        <v>140.248427221516</v>
      </c>
      <c r="N47" s="4" t="n">
        <f aca="false">MAX(G47-H47-M47,0)</f>
        <v>93.4989514810107</v>
      </c>
      <c r="O47" s="4" t="n">
        <f aca="false">H47+N47*$B$12</f>
        <v>72.7214067074528</v>
      </c>
      <c r="P47" s="4" t="n">
        <f aca="false">G47-H47-N47*$B$12-I47-J47</f>
        <v>101.777504476725</v>
      </c>
      <c r="Q47" s="20" t="n">
        <f aca="false">(1+$B$9)^-(A47-2026)</f>
        <v>0.0762776844438546</v>
      </c>
    </row>
    <row r="48" customFormat="false" ht="15" hidden="false" customHeight="false" outlineLevel="0" collapsed="false">
      <c r="A48" s="0" t="n">
        <v>2054</v>
      </c>
      <c r="C48" s="18" t="n">
        <f aca="false">D47*(1-$B$13)</f>
        <v>10.0063090197999</v>
      </c>
      <c r="D48" s="18" t="n">
        <f aca="false">IF(E48&gt;0,C48,0)</f>
        <v>10.0063090197999</v>
      </c>
      <c r="E48" s="18" t="n">
        <f aca="false">IF(AND(A48&gt;2037,C48*365/1000*($B$3-$B$4)&lt;C48*365/1000*($B$7+$B$8)),0,MIN(C48*365/1000,MAX($B$14-F47,0)))</f>
        <v>3.65230279222698</v>
      </c>
      <c r="F48" s="18" t="n">
        <f aca="false">F47+E48</f>
        <v>383.010274869957</v>
      </c>
      <c r="G48" s="4" t="n">
        <f aca="false">E48*($B$3-$B$4)</f>
        <v>233.747378702527</v>
      </c>
      <c r="H48" s="4" t="n">
        <f aca="false">G48*$B$10</f>
        <v>23.3747378702527</v>
      </c>
      <c r="I48" s="4" t="n">
        <f aca="false">E48*($B$7+$B$8)</f>
        <v>76.6983586367666</v>
      </c>
      <c r="J48" s="4" t="n">
        <f aca="false">$B$6*0+IF(AND(E47&gt;0,E48=0),$B$15*$B$6,0)</f>
        <v>0</v>
      </c>
      <c r="K48" s="4" t="n">
        <f aca="false">G48-I48-J48</f>
        <v>157.04902006576</v>
      </c>
      <c r="L48" s="4" t="n">
        <f aca="false">L47+I48+J48-M48</f>
        <v>806.38067276338</v>
      </c>
      <c r="M48" s="4" t="n">
        <f aca="false">MIN(L47+I48+J48,$B$11*(G48-H48))</f>
        <v>126.223584499364</v>
      </c>
      <c r="N48" s="4" t="n">
        <f aca="false">MAX(G48-H48-M48,0)</f>
        <v>84.1490563329096</v>
      </c>
      <c r="O48" s="4" t="n">
        <f aca="false">H48+N48*$B$12</f>
        <v>65.4492660367075</v>
      </c>
      <c r="P48" s="4" t="n">
        <f aca="false">G48-H48-N48*$B$12-I48-J48</f>
        <v>91.5997540290527</v>
      </c>
      <c r="Q48" s="20" t="n">
        <f aca="false">(1+$B$9)^-(A48-2026)</f>
        <v>0.0693433494944132</v>
      </c>
    </row>
    <row r="49" customFormat="false" ht="15" hidden="false" customHeight="false" outlineLevel="0" collapsed="false">
      <c r="A49" s="0" t="n">
        <v>2055</v>
      </c>
      <c r="C49" s="18" t="n">
        <f aca="false">D48*(1-$B$13)</f>
        <v>9.00567811781995</v>
      </c>
      <c r="D49" s="18" t="n">
        <f aca="false">IF(E49&gt;0,C49,0)</f>
        <v>9.00567811781995</v>
      </c>
      <c r="E49" s="18" t="n">
        <f aca="false">IF(AND(A49&gt;2037,C49*365/1000*($B$3-$B$4)&lt;C49*365/1000*($B$7+$B$8)),0,MIN(C49*365/1000,MAX($B$14-F48,0)))</f>
        <v>3.28707251300428</v>
      </c>
      <c r="F49" s="18" t="n">
        <f aca="false">F48+E49</f>
        <v>386.297347382962</v>
      </c>
      <c r="G49" s="4" t="n">
        <f aca="false">E49*($B$3-$B$4)</f>
        <v>210.372640832274</v>
      </c>
      <c r="H49" s="4" t="n">
        <f aca="false">G49*$B$10</f>
        <v>21.0372640832274</v>
      </c>
      <c r="I49" s="4" t="n">
        <f aca="false">E49*($B$7+$B$8)</f>
        <v>69.02852277309</v>
      </c>
      <c r="J49" s="4" t="n">
        <f aca="false">$B$6*0+IF(AND(E48&gt;0,E49=0),$B$15*$B$6,0)</f>
        <v>0</v>
      </c>
      <c r="K49" s="4" t="n">
        <f aca="false">G49-I49-J49</f>
        <v>141.344118059184</v>
      </c>
      <c r="L49" s="4" t="n">
        <f aca="false">L48+I49+J49-M49</f>
        <v>761.807969487042</v>
      </c>
      <c r="M49" s="4" t="n">
        <f aca="false">MIN(L48+I49+J49,$B$11*(G49-H49))</f>
        <v>113.601226049428</v>
      </c>
      <c r="N49" s="4" t="n">
        <f aca="false">MAX(G49-H49-M49,0)</f>
        <v>75.7341506996187</v>
      </c>
      <c r="O49" s="4" t="n">
        <f aca="false">H49+N49*$B$12</f>
        <v>58.9043394330368</v>
      </c>
      <c r="P49" s="4" t="n">
        <f aca="false">G49-H49-N49*$B$12-I49-J49</f>
        <v>82.4397786261474</v>
      </c>
      <c r="Q49" s="20" t="n">
        <f aca="false">(1+$B$9)^-(A49-2026)</f>
        <v>0.0630394086312848</v>
      </c>
    </row>
    <row r="50" customFormat="false" ht="15" hidden="false" customHeight="false" outlineLevel="0" collapsed="false">
      <c r="A50" s="0" t="n">
        <v>2056</v>
      </c>
      <c r="C50" s="18" t="n">
        <f aca="false">D49*(1-$B$13)</f>
        <v>8.10511030603796</v>
      </c>
      <c r="D50" s="18" t="n">
        <f aca="false">IF(E50&gt;0,C50,0)</f>
        <v>8.10511030603796</v>
      </c>
      <c r="E50" s="18" t="n">
        <f aca="false">IF(AND(A50&gt;2037,C50*365/1000*($B$3-$B$4)&lt;C50*365/1000*($B$7+$B$8)),0,MIN(C50*365/1000,MAX($B$14-F49,0)))</f>
        <v>2.95836526170385</v>
      </c>
      <c r="F50" s="18" t="n">
        <f aca="false">F49+E50</f>
        <v>389.255712644665</v>
      </c>
      <c r="G50" s="4" t="n">
        <f aca="false">E50*($B$3-$B$4)</f>
        <v>189.335376749047</v>
      </c>
      <c r="H50" s="4" t="n">
        <f aca="false">G50*$B$10</f>
        <v>18.9335376749047</v>
      </c>
      <c r="I50" s="4" t="n">
        <f aca="false">E50*($B$7+$B$8)</f>
        <v>62.125670495781</v>
      </c>
      <c r="J50" s="4" t="n">
        <f aca="false">$B$6*0+IF(AND(E49&gt;0,E50=0),$B$15*$B$6,0)</f>
        <v>0</v>
      </c>
      <c r="K50" s="4" t="n">
        <f aca="false">G50-I50-J50</f>
        <v>127.209706253266</v>
      </c>
      <c r="L50" s="4" t="n">
        <f aca="false">L49+I50+J50-M50</f>
        <v>721.692536538338</v>
      </c>
      <c r="M50" s="4" t="n">
        <f aca="false">MIN(L49+I50+J50,$B$11*(G50-H50))</f>
        <v>102.241103444485</v>
      </c>
      <c r="N50" s="4" t="n">
        <f aca="false">MAX(G50-H50-M50,0)</f>
        <v>68.1607356296568</v>
      </c>
      <c r="O50" s="4" t="n">
        <f aca="false">H50+N50*$B$12</f>
        <v>53.0139054897331</v>
      </c>
      <c r="P50" s="4" t="n">
        <f aca="false">G50-H50-N50*$B$12-I50-J50</f>
        <v>74.1958007635327</v>
      </c>
      <c r="Q50" s="20" t="n">
        <f aca="false">(1+$B$9)^-(A50-2026)</f>
        <v>0.057308553301168</v>
      </c>
    </row>
    <row r="51" customFormat="false" ht="15" hidden="false" customHeight="false" outlineLevel="0" collapsed="false">
      <c r="A51" s="0" t="n">
        <v>2057</v>
      </c>
      <c r="C51" s="18" t="n">
        <f aca="false">D50*(1-$B$13)</f>
        <v>7.29459927543416</v>
      </c>
      <c r="D51" s="18" t="n">
        <f aca="false">IF(E51&gt;0,C51,0)</f>
        <v>7.29459927543416</v>
      </c>
      <c r="E51" s="18" t="n">
        <f aca="false">IF(AND(A51&gt;2037,C51*365/1000*($B$3-$B$4)&lt;C51*365/1000*($B$7+$B$8)),0,MIN(C51*365/1000,MAX($B$14-F50,0)))</f>
        <v>2.66252873553347</v>
      </c>
      <c r="F51" s="18" t="n">
        <f aca="false">F50+E51</f>
        <v>391.918241380199</v>
      </c>
      <c r="G51" s="4" t="n">
        <f aca="false">E51*($B$3-$B$4)</f>
        <v>170.401839074142</v>
      </c>
      <c r="H51" s="4" t="n">
        <f aca="false">G51*$B$10</f>
        <v>17.0401839074142</v>
      </c>
      <c r="I51" s="4" t="n">
        <f aca="false">E51*($B$7+$B$8)</f>
        <v>55.9131034462029</v>
      </c>
      <c r="J51" s="4" t="n">
        <f aca="false">$B$6*0+IF(AND(E50&gt;0,E51=0),$B$15*$B$6,0)</f>
        <v>0</v>
      </c>
      <c r="K51" s="4" t="n">
        <f aca="false">G51-I51-J51</f>
        <v>114.488735627939</v>
      </c>
      <c r="L51" s="4" t="n">
        <f aca="false">L50+I51+J51-M51</f>
        <v>685.588646884504</v>
      </c>
      <c r="M51" s="4" t="n">
        <f aca="false">MIN(L50+I51+J51,$B$11*(G51-H51))</f>
        <v>92.0169931000367</v>
      </c>
      <c r="N51" s="4" t="n">
        <f aca="false">MAX(G51-H51-M51,0)</f>
        <v>61.3446620666911</v>
      </c>
      <c r="O51" s="4" t="n">
        <f aca="false">H51+N51*$B$12</f>
        <v>47.7125149407598</v>
      </c>
      <c r="P51" s="4" t="n">
        <f aca="false">G51-H51-N51*$B$12-I51-J51</f>
        <v>66.7762206871794</v>
      </c>
      <c r="Q51" s="20" t="n">
        <f aca="false">(1+$B$9)^-(A51-2026)</f>
        <v>0.0520986848192436</v>
      </c>
    </row>
    <row r="52" customFormat="false" ht="15" hidden="false" customHeight="false" outlineLevel="0" collapsed="false">
      <c r="A52" s="0" t="n">
        <v>2058</v>
      </c>
      <c r="C52" s="18" t="n">
        <f aca="false">D51*(1-$B$13)</f>
        <v>6.56513934789075</v>
      </c>
      <c r="D52" s="18" t="n">
        <f aca="false">IF(E52&gt;0,C52,0)</f>
        <v>6.56513934789075</v>
      </c>
      <c r="E52" s="18" t="n">
        <f aca="false">IF(AND(A52&gt;2037,C52*365/1000*($B$3-$B$4)&lt;C52*365/1000*($B$7+$B$8)),0,MIN(C52*365/1000,MAX($B$14-F51,0)))</f>
        <v>2.39627586198012</v>
      </c>
      <c r="F52" s="18" t="n">
        <f aca="false">F51+E52</f>
        <v>394.314517242179</v>
      </c>
      <c r="G52" s="4" t="n">
        <f aca="false">E52*($B$3-$B$4)</f>
        <v>153.361655166728</v>
      </c>
      <c r="H52" s="4" t="n">
        <f aca="false">G52*$B$10</f>
        <v>15.3361655166728</v>
      </c>
      <c r="I52" s="4" t="n">
        <f aca="false">E52*($B$7+$B$8)</f>
        <v>50.3217931015826</v>
      </c>
      <c r="J52" s="4" t="n">
        <f aca="false">$B$6*0+IF(AND(E51&gt;0,E52=0),$B$15*$B$6,0)</f>
        <v>0</v>
      </c>
      <c r="K52" s="4" t="n">
        <f aca="false">G52-I52-J52</f>
        <v>103.039862065145</v>
      </c>
      <c r="L52" s="4" t="n">
        <f aca="false">L51+I52+J52-M52</f>
        <v>653.095146196054</v>
      </c>
      <c r="M52" s="4" t="n">
        <f aca="false">MIN(L51+I52+J52,$B$11*(G52-H52))</f>
        <v>82.815293790033</v>
      </c>
      <c r="N52" s="4" t="n">
        <f aca="false">MAX(G52-H52-M52,0)</f>
        <v>55.210195860022</v>
      </c>
      <c r="O52" s="4" t="n">
        <f aca="false">H52+N52*$B$12</f>
        <v>42.9412634466838</v>
      </c>
      <c r="P52" s="4" t="n">
        <f aca="false">G52-H52-N52*$B$12-I52-J52</f>
        <v>60.0985986184615</v>
      </c>
      <c r="Q52" s="20" t="n">
        <f aca="false">(1+$B$9)^-(A52-2026)</f>
        <v>0.0473624407447669</v>
      </c>
    </row>
    <row r="53" customFormat="false" ht="15" hidden="false" customHeight="false" outlineLevel="0" collapsed="false">
      <c r="A53" s="0" t="n">
        <v>2059</v>
      </c>
      <c r="C53" s="18" t="n">
        <f aca="false">D52*(1-$B$13)</f>
        <v>5.90862541310167</v>
      </c>
      <c r="D53" s="18" t="n">
        <f aca="false">IF(E53&gt;0,C53,0)</f>
        <v>5.90862541310167</v>
      </c>
      <c r="E53" s="18" t="n">
        <f aca="false">IF(AND(A53&gt;2037,C53*365/1000*($B$3-$B$4)&lt;C53*365/1000*($B$7+$B$8)),0,MIN(C53*365/1000,MAX($B$14-F52,0)))</f>
        <v>2.15664827578211</v>
      </c>
      <c r="F53" s="18" t="n">
        <f aca="false">F52+E53</f>
        <v>396.471165517961</v>
      </c>
      <c r="G53" s="4" t="n">
        <f aca="false">E53*($B$3-$B$4)</f>
        <v>138.025489650055</v>
      </c>
      <c r="H53" s="4" t="n">
        <f aca="false">G53*$B$10</f>
        <v>13.8025489650055</v>
      </c>
      <c r="I53" s="4" t="n">
        <f aca="false">E53*($B$7+$B$8)</f>
        <v>45.2896137914243</v>
      </c>
      <c r="J53" s="4" t="n">
        <f aca="false">$B$6*0+IF(AND(E52&gt;0,E53=0),$B$15*$B$6,0)</f>
        <v>0</v>
      </c>
      <c r="K53" s="4" t="n">
        <f aca="false">G53-I53-J53</f>
        <v>92.7358758586307</v>
      </c>
      <c r="L53" s="4" t="n">
        <f aca="false">L52+I53+J53-M53</f>
        <v>623.850995576448</v>
      </c>
      <c r="M53" s="4" t="n">
        <f aca="false">MIN(L52+I53+J53,$B$11*(G53-H53))</f>
        <v>74.5337644110297</v>
      </c>
      <c r="N53" s="4" t="n">
        <f aca="false">MAX(G53-H53-M53,0)</f>
        <v>49.6891762740198</v>
      </c>
      <c r="O53" s="4" t="n">
        <f aca="false">H53+N53*$B$12</f>
        <v>38.6471371020154</v>
      </c>
      <c r="P53" s="4" t="n">
        <f aca="false">G53-H53-N53*$B$12-I53-J53</f>
        <v>54.0887387566153</v>
      </c>
      <c r="Q53" s="20" t="n">
        <f aca="false">(1+$B$9)^-(A53-2026)</f>
        <v>0.0430567643134244</v>
      </c>
    </row>
    <row r="54" customFormat="false" ht="15" hidden="false" customHeight="false" outlineLevel="0" collapsed="false">
      <c r="A54" s="0" t="n">
        <v>2060</v>
      </c>
      <c r="C54" s="18" t="n">
        <f aca="false">D53*(1-$B$13)</f>
        <v>5.31776287179151</v>
      </c>
      <c r="D54" s="18" t="n">
        <f aca="false">IF(E54&gt;0,C54,0)</f>
        <v>5.31776287179151</v>
      </c>
      <c r="E54" s="18" t="n">
        <f aca="false">IF(AND(A54&gt;2037,C54*365/1000*($B$3-$B$4)&lt;C54*365/1000*($B$7+$B$8)),0,MIN(C54*365/1000,MAX($B$14-F53,0)))</f>
        <v>1.9409834482039</v>
      </c>
      <c r="F54" s="18" t="n">
        <f aca="false">F53+E54</f>
        <v>398.412148966165</v>
      </c>
      <c r="G54" s="4" t="n">
        <f aca="false">E54*($B$3-$B$4)</f>
        <v>124.22294068505</v>
      </c>
      <c r="H54" s="4" t="n">
        <f aca="false">G54*$B$10</f>
        <v>12.422294068505</v>
      </c>
      <c r="I54" s="4" t="n">
        <f aca="false">E54*($B$7+$B$8)</f>
        <v>40.7606524122819</v>
      </c>
      <c r="J54" s="4" t="n">
        <f aca="false">$B$6*0+IF(AND(E53&gt;0,E54=0),$B$15*$B$6,0)</f>
        <v>0</v>
      </c>
      <c r="K54" s="4" t="n">
        <f aca="false">G54-I54-J54</f>
        <v>83.4622882727677</v>
      </c>
      <c r="L54" s="4" t="n">
        <f aca="false">L53+I54+J54-M54</f>
        <v>597.531260018804</v>
      </c>
      <c r="M54" s="4" t="n">
        <f aca="false">MIN(L53+I54+J54,$B$11*(G54-H54))</f>
        <v>67.0803879699268</v>
      </c>
      <c r="N54" s="4" t="n">
        <f aca="false">MAX(G54-H54-M54,0)</f>
        <v>44.7202586466179</v>
      </c>
      <c r="O54" s="4" t="n">
        <f aca="false">H54+N54*$B$12</f>
        <v>34.7824233918139</v>
      </c>
      <c r="P54" s="4" t="n">
        <f aca="false">G54-H54-N54*$B$12-I54-J54</f>
        <v>48.6798648809538</v>
      </c>
      <c r="Q54" s="20" t="n">
        <f aca="false">(1+$B$9)^-(A54-2026)</f>
        <v>0.039142513012204</v>
      </c>
    </row>
    <row r="57" customFormat="false" ht="15" hidden="false" customHeight="false" outlineLevel="0" collapsed="false">
      <c r="A57" s="15" t="s">
        <v>139</v>
      </c>
    </row>
    <row r="58" customFormat="false" ht="15" hidden="false" customHeight="false" outlineLevel="0" collapsed="false">
      <c r="A58" s="0" t="s">
        <v>140</v>
      </c>
      <c r="B58" s="4" t="n">
        <f aca="false">SUMPRODUCT(K20:K54,Q20:Q54)</f>
        <v>1550.50546264549</v>
      </c>
    </row>
    <row r="59" customFormat="false" ht="15" hidden="false" customHeight="false" outlineLevel="0" collapsed="false">
      <c r="A59" s="0" t="s">
        <v>22</v>
      </c>
      <c r="B59" s="7" t="n">
        <f aca="false">IRR(K20:K54,0.1)</f>
        <v>0.149465951986145</v>
      </c>
    </row>
    <row r="60" customFormat="false" ht="15" hidden="false" customHeight="false" outlineLevel="0" collapsed="false">
      <c r="A60" s="0" t="s">
        <v>141</v>
      </c>
      <c r="B60" s="4" t="n">
        <f aca="false">SUMPRODUCT(O20:O54,Q20:Q54)</f>
        <v>2812.51376045984</v>
      </c>
    </row>
    <row r="61" customFormat="false" ht="15" hidden="false" customHeight="false" outlineLevel="0" collapsed="false">
      <c r="A61" s="0" t="s">
        <v>142</v>
      </c>
      <c r="B61" s="4" t="n">
        <f aca="false">SUM(O20:O54)</f>
        <v>7139.54570947368</v>
      </c>
    </row>
    <row r="62" customFormat="false" ht="15" hidden="false" customHeight="false" outlineLevel="0" collapsed="false">
      <c r="A62" s="0" t="s">
        <v>143</v>
      </c>
      <c r="B62" s="4" t="n">
        <f aca="false">SUMPRODUCT(P20:P54,Q20:Q54)</f>
        <v>-1262.00829781436</v>
      </c>
    </row>
    <row r="63" customFormat="false" ht="15" hidden="false" customHeight="false" outlineLevel="0" collapsed="false">
      <c r="A63" s="0" t="s">
        <v>144</v>
      </c>
      <c r="B63" s="7" t="n">
        <f aca="false">IRR(P20:P54,0.05)</f>
        <v>0.0579418075443877</v>
      </c>
    </row>
    <row r="64" customFormat="false" ht="15" hidden="false" customHeight="false" outlineLevel="0" collapsed="false">
      <c r="A64" s="0" t="s">
        <v>145</v>
      </c>
      <c r="B64" s="4" t="n">
        <f aca="false">SUM(E20:E54)</f>
        <v>398.412148966165</v>
      </c>
    </row>
    <row r="65" customFormat="false" ht="15" hidden="false" customHeight="false" outlineLevel="0" collapsed="false">
      <c r="A65" s="0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5" t="s">
        <v>147</v>
      </c>
    </row>
    <row r="3" customFormat="false" ht="28.35" hidden="false" customHeight="false" outlineLevel="0" collapsed="false">
      <c r="A3" s="10" t="s">
        <v>148</v>
      </c>
      <c r="B3" s="10" t="s">
        <v>149</v>
      </c>
      <c r="C3" s="10" t="s">
        <v>150</v>
      </c>
      <c r="D3" s="10" t="s">
        <v>151</v>
      </c>
      <c r="E3" s="10" t="s">
        <v>152</v>
      </c>
      <c r="F3" s="10" t="s">
        <v>153</v>
      </c>
    </row>
    <row r="4" customFormat="false" ht="15" hidden="false" customHeight="false" outlineLevel="0" collapsed="false">
      <c r="A4" s="0" t="s">
        <v>154</v>
      </c>
      <c r="B4" s="4" t="n">
        <v>-2310</v>
      </c>
      <c r="C4" s="4" t="n">
        <v>-1949</v>
      </c>
      <c r="D4" s="4" t="n">
        <v>-1588</v>
      </c>
      <c r="E4" s="4" t="n">
        <v>-1227</v>
      </c>
      <c r="F4" s="4" t="n">
        <v>-866</v>
      </c>
    </row>
    <row r="5" customFormat="false" ht="15" hidden="false" customHeight="false" outlineLevel="0" collapsed="false">
      <c r="A5" s="0" t="s">
        <v>155</v>
      </c>
      <c r="B5" s="4" t="n">
        <v>-1055</v>
      </c>
      <c r="C5" s="4" t="n">
        <v>-537</v>
      </c>
      <c r="D5" s="4" t="n">
        <v>-19</v>
      </c>
      <c r="E5" s="4" t="n">
        <v>499</v>
      </c>
      <c r="F5" s="4" t="n">
        <v>1017</v>
      </c>
    </row>
    <row r="6" customFormat="false" ht="15" hidden="false" customHeight="false" outlineLevel="0" collapsed="false">
      <c r="A6" s="0" t="s">
        <v>156</v>
      </c>
      <c r="B6" s="4" t="n">
        <v>201</v>
      </c>
      <c r="C6" s="4" t="n">
        <v>876</v>
      </c>
      <c r="D6" s="4" t="n">
        <v>1551</v>
      </c>
      <c r="E6" s="4" t="n">
        <v>2225</v>
      </c>
      <c r="F6" s="4" t="n">
        <v>2900</v>
      </c>
    </row>
    <row r="7" customFormat="false" ht="15" hidden="false" customHeight="false" outlineLevel="0" collapsed="false">
      <c r="A7" s="0" t="s">
        <v>157</v>
      </c>
      <c r="B7" s="4" t="n">
        <v>1456</v>
      </c>
      <c r="C7" s="4" t="n">
        <v>2288</v>
      </c>
      <c r="D7" s="4" t="n">
        <v>3120</v>
      </c>
      <c r="E7" s="4" t="n">
        <v>3952</v>
      </c>
      <c r="F7" s="4" t="n">
        <v>4784</v>
      </c>
    </row>
    <row r="8" customFormat="false" ht="15" hidden="false" customHeight="false" outlineLevel="0" collapsed="false">
      <c r="A8" s="0" t="s">
        <v>158</v>
      </c>
      <c r="B8" s="4" t="n">
        <v>2712</v>
      </c>
      <c r="C8" s="4" t="n">
        <v>3701</v>
      </c>
      <c r="D8" s="4" t="n">
        <v>4689</v>
      </c>
      <c r="E8" s="4" t="n">
        <v>5678</v>
      </c>
      <c r="F8" s="4" t="n">
        <v>6667</v>
      </c>
    </row>
    <row r="9" customFormat="false" ht="15" hidden="false" customHeight="false" outlineLevel="0" collapsed="false">
      <c r="A9" s="0" t="s">
        <v>159</v>
      </c>
      <c r="B9" s="4" t="n">
        <v>3968</v>
      </c>
      <c r="C9" s="4" t="n">
        <v>5113</v>
      </c>
      <c r="D9" s="4" t="n">
        <v>6259</v>
      </c>
      <c r="E9" s="4" t="n">
        <v>7405</v>
      </c>
      <c r="F9" s="4" t="n">
        <v>8550</v>
      </c>
    </row>
    <row r="12" customFormat="false" ht="28.35" hidden="false" customHeight="false" outlineLevel="0" collapsed="false">
      <c r="A12" s="10" t="s">
        <v>160</v>
      </c>
      <c r="B12" s="10" t="s">
        <v>161</v>
      </c>
      <c r="C12" s="10" t="s">
        <v>162</v>
      </c>
    </row>
    <row r="13" customFormat="false" ht="15" hidden="false" customHeight="false" outlineLevel="0" collapsed="false">
      <c r="A13" s="0" t="s">
        <v>163</v>
      </c>
      <c r="B13" s="4" t="n">
        <v>-628</v>
      </c>
      <c r="C13" s="4" t="n">
        <v>628</v>
      </c>
    </row>
    <row r="14" customFormat="false" ht="15" hidden="false" customHeight="false" outlineLevel="0" collapsed="false">
      <c r="A14" s="0" t="s">
        <v>164</v>
      </c>
      <c r="B14" s="4" t="n">
        <v>-659</v>
      </c>
      <c r="C14" s="4" t="n">
        <v>659</v>
      </c>
    </row>
    <row r="15" customFormat="false" ht="15" hidden="false" customHeight="false" outlineLevel="0" collapsed="false">
      <c r="A15" s="0" t="s">
        <v>165</v>
      </c>
      <c r="B15" s="4" t="n">
        <v>-741</v>
      </c>
      <c r="C15" s="4" t="n">
        <v>962</v>
      </c>
    </row>
    <row r="16" customFormat="false" ht="15" hidden="false" customHeight="false" outlineLevel="0" collapsed="false">
      <c r="A16" s="0" t="s">
        <v>166</v>
      </c>
      <c r="B16" s="4" t="n">
        <v>-1040</v>
      </c>
      <c r="C16" s="4" t="n">
        <v>1040</v>
      </c>
    </row>
    <row r="17" customFormat="false" ht="15" hidden="false" customHeight="false" outlineLevel="0" collapsed="false">
      <c r="A17" s="0" t="s">
        <v>167</v>
      </c>
      <c r="B17" s="4" t="n">
        <v>-1350</v>
      </c>
      <c r="C17" s="4" t="n">
        <v>1350</v>
      </c>
    </row>
    <row r="18" customFormat="false" ht="15" hidden="false" customHeight="false" outlineLevel="0" collapsed="false">
      <c r="A18" s="0" t="s">
        <v>168</v>
      </c>
      <c r="B18" s="4" t="n">
        <v>-2354</v>
      </c>
      <c r="C18" s="4" t="n">
        <v>2354</v>
      </c>
    </row>
    <row r="21" customFormat="false" ht="55.2" hidden="false" customHeight="false" outlineLevel="0" collapsed="false">
      <c r="A21" s="10" t="s">
        <v>169</v>
      </c>
      <c r="B21" s="10" t="s">
        <v>170</v>
      </c>
      <c r="C21" s="10" t="s">
        <v>171</v>
      </c>
      <c r="D21" s="10" t="s">
        <v>172</v>
      </c>
      <c r="E21" s="10" t="s">
        <v>173</v>
      </c>
      <c r="F21" s="10" t="s">
        <v>174</v>
      </c>
      <c r="G21" s="10" t="s">
        <v>175</v>
      </c>
      <c r="H21" s="10" t="s">
        <v>176</v>
      </c>
    </row>
    <row r="22" customFormat="false" ht="15" hidden="false" customHeight="false" outlineLevel="0" collapsed="false">
      <c r="A22" s="0" t="s">
        <v>177</v>
      </c>
      <c r="B22" s="0" t="n">
        <v>60</v>
      </c>
      <c r="C22" s="0" t="n">
        <v>-2392.036</v>
      </c>
      <c r="D22" s="0" t="n">
        <v>0.017</v>
      </c>
      <c r="E22" s="0" t="n">
        <v>2373.058</v>
      </c>
      <c r="F22" s="0" t="n">
        <v>6023.992</v>
      </c>
      <c r="G22" s="0" t="n">
        <v>84.28</v>
      </c>
      <c r="H22" s="0" t="n">
        <v>82.322</v>
      </c>
    </row>
    <row r="23" customFormat="false" ht="15" hidden="false" customHeight="false" outlineLevel="0" collapsed="false">
      <c r="A23" s="0" t="s">
        <v>177</v>
      </c>
      <c r="B23" s="0" t="n">
        <v>70</v>
      </c>
      <c r="C23" s="0" t="n">
        <v>-1262.008</v>
      </c>
      <c r="D23" s="0" t="n">
        <v>0.058</v>
      </c>
      <c r="E23" s="0" t="n">
        <v>2812.514</v>
      </c>
      <c r="F23" s="0" t="n">
        <v>7139.546</v>
      </c>
      <c r="G23" s="0" t="n">
        <v>64.137</v>
      </c>
      <c r="H23" s="0" t="n">
        <v>82.322</v>
      </c>
    </row>
    <row r="24" customFormat="false" ht="15" hidden="false" customHeight="false" outlineLevel="0" collapsed="false">
      <c r="A24" s="0" t="s">
        <v>177</v>
      </c>
      <c r="B24" s="0" t="n">
        <v>80</v>
      </c>
      <c r="C24" s="0" t="n">
        <v>-217.896</v>
      </c>
      <c r="D24" s="0" t="n">
        <v>0.093</v>
      </c>
      <c r="E24" s="0" t="n">
        <v>3337.884</v>
      </c>
      <c r="F24" s="0" t="n">
        <v>9032.047</v>
      </c>
      <c r="G24" s="0" t="n">
        <v>59.752</v>
      </c>
      <c r="H24" s="0" t="n">
        <v>82.322</v>
      </c>
    </row>
    <row r="25" customFormat="false" ht="15" hidden="false" customHeight="false" outlineLevel="0" collapsed="false">
      <c r="A25" s="0" t="s">
        <v>178</v>
      </c>
      <c r="B25" s="0" t="n">
        <v>60</v>
      </c>
      <c r="C25" s="0" t="n">
        <v>-1437.487</v>
      </c>
      <c r="D25" s="0" t="n">
        <v>0.051</v>
      </c>
      <c r="E25" s="0" t="n">
        <v>1418.51</v>
      </c>
      <c r="F25" s="0" t="n">
        <v>3900.087</v>
      </c>
      <c r="G25" s="0" t="n">
        <v>54.565</v>
      </c>
      <c r="H25" s="0" t="n">
        <v>73.135</v>
      </c>
    </row>
    <row r="26" customFormat="false" ht="15" hidden="false" customHeight="false" outlineLevel="0" collapsed="false">
      <c r="A26" s="0" t="s">
        <v>178</v>
      </c>
      <c r="B26" s="0" t="n">
        <v>70</v>
      </c>
      <c r="C26" s="0" t="n">
        <v>-329.963</v>
      </c>
      <c r="D26" s="0" t="n">
        <v>0.088</v>
      </c>
      <c r="E26" s="0" t="n">
        <v>1880.468</v>
      </c>
      <c r="F26" s="0" t="n">
        <v>5553.497</v>
      </c>
      <c r="G26" s="0" t="n">
        <v>49.889</v>
      </c>
      <c r="H26" s="0" t="n">
        <v>73.135</v>
      </c>
    </row>
    <row r="27" customFormat="false" ht="15" hidden="false" customHeight="false" outlineLevel="0" collapsed="false">
      <c r="A27" s="0" t="s">
        <v>178</v>
      </c>
      <c r="B27" s="0" t="n">
        <v>80</v>
      </c>
      <c r="C27" s="0" t="n">
        <v>705.826</v>
      </c>
      <c r="D27" s="0" t="n">
        <v>0.125</v>
      </c>
      <c r="E27" s="0" t="n">
        <v>2414.162</v>
      </c>
      <c r="F27" s="0" t="n">
        <v>7206.908</v>
      </c>
      <c r="G27" s="0" t="n">
        <v>47.678</v>
      </c>
      <c r="H27" s="0" t="n">
        <v>73.135</v>
      </c>
    </row>
    <row r="30" customFormat="false" ht="28.35" hidden="false" customHeight="false" outlineLevel="0" collapsed="false">
      <c r="A30" s="10" t="s">
        <v>179</v>
      </c>
      <c r="B30" s="10" t="s">
        <v>180</v>
      </c>
      <c r="C30" s="10" t="s">
        <v>181</v>
      </c>
      <c r="D30" s="10" t="s">
        <v>182</v>
      </c>
    </row>
    <row r="31" customFormat="false" ht="15" hidden="false" customHeight="false" outlineLevel="0" collapsed="false">
      <c r="A31" s="0" t="s">
        <v>30</v>
      </c>
      <c r="B31" s="0" t="n">
        <v>6305.7</v>
      </c>
      <c r="C31" s="0" t="n">
        <v>7157.3</v>
      </c>
      <c r="D31" s="0" t="n">
        <v>0</v>
      </c>
    </row>
    <row r="32" customFormat="false" ht="15" hidden="false" customHeight="false" outlineLevel="0" collapsed="false">
      <c r="A32" s="0" t="s">
        <v>183</v>
      </c>
      <c r="B32" s="0" t="n">
        <v>6264.4</v>
      </c>
      <c r="C32" s="0" t="n">
        <v>6870.7</v>
      </c>
      <c r="D32" s="0" t="n">
        <v>-4</v>
      </c>
    </row>
    <row r="33" customFormat="false" ht="15" hidden="false" customHeight="false" outlineLevel="0" collapsed="false">
      <c r="A33" s="0" t="s">
        <v>184</v>
      </c>
      <c r="B33" s="0" t="n">
        <v>6347</v>
      </c>
      <c r="C33" s="0" t="n">
        <v>7456.1</v>
      </c>
      <c r="D33" s="0" t="n">
        <v>4.2</v>
      </c>
    </row>
    <row r="34" customFormat="false" ht="15" hidden="false" customHeight="false" outlineLevel="0" collapsed="false">
      <c r="A34" s="0" t="s">
        <v>185</v>
      </c>
      <c r="B34" s="0" t="n">
        <v>6678.5</v>
      </c>
      <c r="C34" s="0" t="n">
        <v>7587.5</v>
      </c>
      <c r="D34" s="0" t="n">
        <v>6</v>
      </c>
    </row>
    <row r="35" customFormat="false" ht="15" hidden="false" customHeight="false" outlineLevel="0" collapsed="false">
      <c r="A35" s="0" t="s">
        <v>186</v>
      </c>
      <c r="B35" s="0" t="n">
        <v>6150.6</v>
      </c>
      <c r="C35" s="0" t="n">
        <v>6978.3</v>
      </c>
      <c r="D35" s="0" t="n">
        <v>-2.5</v>
      </c>
    </row>
    <row r="36" customFormat="false" ht="15" hidden="false" customHeight="false" outlineLevel="0" collapsed="false">
      <c r="A36" s="0" t="s">
        <v>187</v>
      </c>
      <c r="B36" s="0" t="n">
        <v>6488</v>
      </c>
      <c r="C36" s="0" t="n">
        <v>7367.7</v>
      </c>
      <c r="D36" s="0" t="n">
        <v>2.9</v>
      </c>
    </row>
    <row r="37" customFormat="false" ht="15" hidden="false" customHeight="false" outlineLevel="0" collapsed="false">
      <c r="A37" s="0" t="s">
        <v>188</v>
      </c>
      <c r="B37" s="0" t="n">
        <v>5963.9</v>
      </c>
      <c r="C37" s="0" t="n">
        <v>6762.8</v>
      </c>
      <c r="D37" s="0" t="n">
        <v>-5.5</v>
      </c>
    </row>
    <row r="38" customFormat="false" ht="15" hidden="false" customHeight="false" outlineLevel="0" collapsed="false">
      <c r="A38" s="0" t="s">
        <v>189</v>
      </c>
      <c r="B38" s="0" t="n">
        <v>6873.1</v>
      </c>
      <c r="C38" s="0" t="n">
        <v>8410.2</v>
      </c>
      <c r="D38" s="0" t="n">
        <v>17.5</v>
      </c>
    </row>
    <row r="39" customFormat="false" ht="15" hidden="false" customHeight="false" outlineLevel="0" collapsed="false">
      <c r="A39" s="0" t="s">
        <v>190</v>
      </c>
      <c r="B39" s="0" t="n">
        <v>6037.3</v>
      </c>
      <c r="C39" s="0" t="n">
        <v>6599.1</v>
      </c>
      <c r="D39" s="0" t="n">
        <v>-7.8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2026-10-07T10:28:23Z</dcterms:created>
  <dc:creator>openpyxl</dc:creator>
  <dc:description/>
  <dc:language>en-US</dc:language>
  <cp:lastModifiedBy/>
  <dcterms:modified xsi:type="dcterms:W3CDTF">2026-10-07T10:28:23Z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